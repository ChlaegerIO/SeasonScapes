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imok\Documents\Studium\02_Unterlagen\Master\3_Masterarbeit\cloud3D\configs\"/>
    </mc:Choice>
  </mc:AlternateContent>
  <xr:revisionPtr revIDLastSave="0" documentId="13_ncr:1_{3013A108-C14D-4E3A-A281-88EDA7B6F150}" xr6:coauthVersionLast="47" xr6:coauthVersionMax="47" xr10:uidLastSave="{00000000-0000-0000-0000-000000000000}"/>
  <bookViews>
    <workbookView xWindow="-98" yWindow="-98" windowWidth="22695" windowHeight="14476" xr2:uid="{F9A2529F-668A-4750-A2A1-14AFF3C42A4B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2" i="1" l="1"/>
  <c r="T11" i="1"/>
  <c r="M4" i="1"/>
  <c r="M5" i="1"/>
  <c r="M6" i="1"/>
  <c r="M7" i="1"/>
  <c r="M8" i="1"/>
  <c r="M9" i="1"/>
  <c r="M10" i="1"/>
  <c r="M11" i="1"/>
  <c r="M14" i="1"/>
  <c r="M16" i="1"/>
  <c r="M17" i="1"/>
  <c r="M20" i="1"/>
  <c r="M21" i="1"/>
  <c r="M27" i="1"/>
  <c r="M28" i="1"/>
  <c r="M29" i="1"/>
  <c r="M31" i="1"/>
  <c r="M2" i="1"/>
  <c r="F2" i="1"/>
  <c r="I2" i="1" s="1"/>
  <c r="T24" i="1"/>
  <c r="T25" i="1"/>
  <c r="G3" i="1"/>
  <c r="J3" i="1" s="1"/>
  <c r="G4" i="1"/>
  <c r="J4" i="1" s="1"/>
  <c r="G5" i="1"/>
  <c r="J5" i="1" s="1"/>
  <c r="G6" i="1"/>
  <c r="J6" i="1" s="1"/>
  <c r="G7" i="1"/>
  <c r="J7" i="1" s="1"/>
  <c r="G8" i="1"/>
  <c r="J8" i="1" s="1"/>
  <c r="G9" i="1"/>
  <c r="J9" i="1" s="1"/>
  <c r="G10" i="1"/>
  <c r="J10" i="1" s="1"/>
  <c r="G11" i="1"/>
  <c r="J11" i="1" s="1"/>
  <c r="G12" i="1"/>
  <c r="J12" i="1" s="1"/>
  <c r="G13" i="1"/>
  <c r="J13" i="1" s="1"/>
  <c r="G14" i="1"/>
  <c r="J14" i="1" s="1"/>
  <c r="G15" i="1"/>
  <c r="J15" i="1" s="1"/>
  <c r="G16" i="1"/>
  <c r="J16" i="1" s="1"/>
  <c r="G17" i="1"/>
  <c r="J17" i="1" s="1"/>
  <c r="G18" i="1"/>
  <c r="J18" i="1" s="1"/>
  <c r="G19" i="1"/>
  <c r="J19" i="1" s="1"/>
  <c r="G20" i="1"/>
  <c r="J20" i="1" s="1"/>
  <c r="G21" i="1"/>
  <c r="J21" i="1" s="1"/>
  <c r="G22" i="1"/>
  <c r="J22" i="1" s="1"/>
  <c r="G23" i="1"/>
  <c r="J23" i="1" s="1"/>
  <c r="G24" i="1"/>
  <c r="J24" i="1" s="1"/>
  <c r="G25" i="1"/>
  <c r="J25" i="1" s="1"/>
  <c r="G26" i="1"/>
  <c r="J26" i="1" s="1"/>
  <c r="G27" i="1"/>
  <c r="J27" i="1" s="1"/>
  <c r="G28" i="1"/>
  <c r="J28" i="1" s="1"/>
  <c r="G29" i="1"/>
  <c r="J29" i="1" s="1"/>
  <c r="G30" i="1"/>
  <c r="J30" i="1" s="1"/>
  <c r="G31" i="1"/>
  <c r="J31" i="1" s="1"/>
  <c r="G32" i="1"/>
  <c r="J32" i="1" s="1"/>
  <c r="G33" i="1"/>
  <c r="J33" i="1" s="1"/>
  <c r="G2" i="1"/>
  <c r="J2" i="1" s="1"/>
  <c r="F3" i="1"/>
  <c r="I3" i="1" s="1"/>
  <c r="N3" i="1"/>
  <c r="M3" i="1" s="1"/>
  <c r="N4" i="1"/>
  <c r="N5" i="1"/>
  <c r="N6" i="1"/>
  <c r="N7" i="1"/>
  <c r="N8" i="1"/>
  <c r="N9" i="1"/>
  <c r="N10" i="1"/>
  <c r="N11" i="1"/>
  <c r="N12" i="1"/>
  <c r="M12" i="1" s="1"/>
  <c r="N13" i="1"/>
  <c r="M13" i="1" s="1"/>
  <c r="N14" i="1"/>
  <c r="N15" i="1"/>
  <c r="M15" i="1" s="1"/>
  <c r="N16" i="1"/>
  <c r="N17" i="1"/>
  <c r="N18" i="1"/>
  <c r="M18" i="1" s="1"/>
  <c r="N19" i="1"/>
  <c r="M19" i="1" s="1"/>
  <c r="N20" i="1"/>
  <c r="N21" i="1"/>
  <c r="N22" i="1"/>
  <c r="M22" i="1" s="1"/>
  <c r="N23" i="1"/>
  <c r="M23" i="1" s="1"/>
  <c r="N24" i="1"/>
  <c r="M24" i="1" s="1"/>
  <c r="N25" i="1"/>
  <c r="M25" i="1" s="1"/>
  <c r="N26" i="1"/>
  <c r="M26" i="1" s="1"/>
  <c r="N27" i="1"/>
  <c r="N28" i="1"/>
  <c r="N29" i="1"/>
  <c r="N30" i="1"/>
  <c r="M30" i="1" s="1"/>
  <c r="N31" i="1"/>
  <c r="N32" i="1"/>
  <c r="M32" i="1" s="1"/>
  <c r="N33" i="1"/>
  <c r="M33" i="1" s="1"/>
  <c r="N2" i="1"/>
  <c r="F9" i="1"/>
  <c r="I9" i="1" s="1"/>
  <c r="F10" i="1"/>
  <c r="I10" i="1" s="1"/>
  <c r="T10" i="1"/>
  <c r="E10" i="1"/>
  <c r="H10" i="1" s="1"/>
  <c r="T9" i="1"/>
  <c r="E9" i="1"/>
  <c r="H9" i="1" s="1"/>
  <c r="F4" i="1"/>
  <c r="I4" i="1" s="1"/>
  <c r="F5" i="1"/>
  <c r="I5" i="1" s="1"/>
  <c r="F6" i="1"/>
  <c r="I6" i="1" s="1"/>
  <c r="F7" i="1"/>
  <c r="I7" i="1" s="1"/>
  <c r="F8" i="1"/>
  <c r="I8" i="1" s="1"/>
  <c r="F11" i="1"/>
  <c r="I11" i="1" s="1"/>
  <c r="F12" i="1"/>
  <c r="I12" i="1" s="1"/>
  <c r="F13" i="1"/>
  <c r="I13" i="1" s="1"/>
  <c r="F14" i="1"/>
  <c r="I14" i="1" s="1"/>
  <c r="F15" i="1"/>
  <c r="I15" i="1" s="1"/>
  <c r="F16" i="1"/>
  <c r="I16" i="1" s="1"/>
  <c r="F17" i="1"/>
  <c r="I17" i="1" s="1"/>
  <c r="F18" i="1"/>
  <c r="I18" i="1" s="1"/>
  <c r="F19" i="1"/>
  <c r="I19" i="1" s="1"/>
  <c r="F20" i="1"/>
  <c r="I20" i="1" s="1"/>
  <c r="F21" i="1"/>
  <c r="I21" i="1" s="1"/>
  <c r="F22" i="1"/>
  <c r="I22" i="1" s="1"/>
  <c r="F23" i="1"/>
  <c r="I23" i="1" s="1"/>
  <c r="F24" i="1"/>
  <c r="I24" i="1" s="1"/>
  <c r="F25" i="1"/>
  <c r="I25" i="1" s="1"/>
  <c r="F26" i="1"/>
  <c r="I26" i="1" s="1"/>
  <c r="F27" i="1"/>
  <c r="I27" i="1" s="1"/>
  <c r="F28" i="1"/>
  <c r="I28" i="1" s="1"/>
  <c r="F29" i="1"/>
  <c r="I29" i="1" s="1"/>
  <c r="F30" i="1"/>
  <c r="I30" i="1" s="1"/>
  <c r="F31" i="1"/>
  <c r="I31" i="1" s="1"/>
  <c r="F32" i="1"/>
  <c r="I32" i="1" s="1"/>
  <c r="F33" i="1"/>
  <c r="I33" i="1" s="1"/>
  <c r="H25" i="1"/>
  <c r="E2" i="1"/>
  <c r="H2" i="1" s="1"/>
  <c r="T33" i="1"/>
  <c r="T28" i="1"/>
  <c r="T29" i="1"/>
  <c r="T31" i="1"/>
  <c r="T32" i="1"/>
  <c r="E33" i="1"/>
  <c r="H33" i="1" s="1"/>
  <c r="E11" i="1"/>
  <c r="H11" i="1" s="1"/>
  <c r="E12" i="1"/>
  <c r="H12" i="1" s="1"/>
  <c r="E13" i="1"/>
  <c r="H13" i="1" s="1"/>
  <c r="E14" i="1"/>
  <c r="H14" i="1" s="1"/>
  <c r="E15" i="1"/>
  <c r="H15" i="1" s="1"/>
  <c r="E16" i="1"/>
  <c r="H16" i="1" s="1"/>
  <c r="E17" i="1"/>
  <c r="H17" i="1" s="1"/>
  <c r="E18" i="1"/>
  <c r="H18" i="1" s="1"/>
  <c r="E19" i="1"/>
  <c r="H19" i="1" s="1"/>
  <c r="E20" i="1"/>
  <c r="H20" i="1" s="1"/>
  <c r="E21" i="1"/>
  <c r="H21" i="1" s="1"/>
  <c r="E22" i="1"/>
  <c r="H22" i="1" s="1"/>
  <c r="E23" i="1"/>
  <c r="H23" i="1" s="1"/>
  <c r="E24" i="1"/>
  <c r="H24" i="1" s="1"/>
  <c r="E26" i="1"/>
  <c r="H26" i="1" s="1"/>
  <c r="E27" i="1"/>
  <c r="H27" i="1" s="1"/>
  <c r="E28" i="1"/>
  <c r="H28" i="1" s="1"/>
  <c r="E29" i="1"/>
  <c r="H29" i="1" s="1"/>
  <c r="E30" i="1"/>
  <c r="H30" i="1" s="1"/>
  <c r="E31" i="1"/>
  <c r="H31" i="1" s="1"/>
  <c r="E32" i="1"/>
  <c r="H32" i="1" s="1"/>
  <c r="E3" i="1"/>
  <c r="H3" i="1" s="1"/>
  <c r="E4" i="1"/>
  <c r="H4" i="1" s="1"/>
  <c r="E5" i="1"/>
  <c r="H5" i="1" s="1"/>
  <c r="E6" i="1"/>
  <c r="H6" i="1" s="1"/>
  <c r="E7" i="1"/>
  <c r="H7" i="1" s="1"/>
  <c r="E8" i="1"/>
  <c r="H8" i="1" s="1"/>
  <c r="T5" i="1"/>
  <c r="T30" i="1"/>
  <c r="T14" i="1"/>
  <c r="T27" i="1"/>
  <c r="T26" i="1"/>
  <c r="T23" i="1"/>
  <c r="T22" i="1"/>
  <c r="T21" i="1"/>
  <c r="T20" i="1"/>
  <c r="T19" i="1"/>
  <c r="T18" i="1"/>
  <c r="T17" i="1"/>
  <c r="T16" i="1"/>
  <c r="T15" i="1"/>
  <c r="T13" i="1"/>
  <c r="T12" i="1"/>
  <c r="T7" i="1"/>
  <c r="T8" i="1"/>
  <c r="T6" i="1"/>
  <c r="T4" i="1"/>
  <c r="T3" i="1"/>
</calcChain>
</file>

<file path=xl/sharedStrings.xml><?xml version="1.0" encoding="utf-8"?>
<sst xmlns="http://schemas.openxmlformats.org/spreadsheetml/2006/main" count="161" uniqueCount="161">
  <si>
    <t>1. Berner Reha Zentrum Heiligenschwendi</t>
  </si>
  <si>
    <t>2. Bucht Spiez – PopNet Informatik</t>
  </si>
  <si>
    <t>3. Niederhorn</t>
  </si>
  <si>
    <t>4. Florens Lake Resort &amp; Spa</t>
  </si>
  <si>
    <t>6. Meiringen Hasliberg – Maegisalp</t>
  </si>
  <si>
    <t>7. Meiringen Hasliberg – Alpen Tower</t>
  </si>
  <si>
    <t>10. Axalp – Windegg</t>
  </si>
  <si>
    <t>11. Faulhorn – Grindelwald Tourismus</t>
  </si>
  <si>
    <t>12. First Schreckfeld – Jungfrau</t>
  </si>
  <si>
    <t>13. Bussalp – Grindelwald</t>
  </si>
  <si>
    <t>14. Schynige Platte</t>
  </si>
  <si>
    <t>17. Eiger Express Panorama Mast 4</t>
  </si>
  <si>
    <t>20. Bellevue – Wengen</t>
  </si>
  <si>
    <t>21. Lauberhorn Wixi – Jungfraubahnen</t>
  </si>
  <si>
    <t>22. Jungfrau – Eigergletscher</t>
  </si>
  <si>
    <t>25. Jungfrau – Ostgrat</t>
  </si>
  <si>
    <t>27. Schilthorn – Allmendhubel</t>
  </si>
  <si>
    <t>28. Schilthorn – Birg</t>
  </si>
  <si>
    <t>Livecam</t>
  </si>
  <si>
    <t>Livecam generation</t>
  </si>
  <si>
    <t>https://backend.roundshot.com/cams/e08c6e0ae4563456d35cd1da7742b76c/full</t>
  </si>
  <si>
    <t>https://backend.roundshot.com/cams/738cb178044c89590045c15ec2bf2726/full</t>
  </si>
  <si>
    <t>https://backend.roundshot.com/cams/7823d0baddb829dad0ccc55bf912afe7/full</t>
  </si>
  <si>
    <t>https://backend.roundshot.com/cams/c7f0edeec13d52b6c3cf91485d982548/full</t>
  </si>
  <si>
    <t>https://backend.roundshot.com/cams/9e425745e5de8732e6417c934111cb09/full</t>
  </si>
  <si>
    <t>https://backend.roundshot.com/cams/8ebf876ae226aa03b0c65b0985e6f60e/full</t>
  </si>
  <si>
    <t>https://backend.roundshot.com/cams/527f953c3776c0552355d4a154c2b4e8/full</t>
  </si>
  <si>
    <t>https://backend.roundshot.com/cams/486d6b1c471c581a99233dc3e4cc3ab7/full</t>
  </si>
  <si>
    <t>https://backend.roundshot.com/cams/dbb5da2713c66505f2004b60c6c56609/full</t>
  </si>
  <si>
    <t>https://backend.roundshot.com/cams/81b7fba18c109eba003bb9e58ad7aca8/full</t>
  </si>
  <si>
    <t>https://backend.roundshot.com/cams/dd60e715a226d2ffd861c788c23581ea/full</t>
  </si>
  <si>
    <t>https://backend.roundshot.com/cams/4eaaee53dd7f3096501ec31f898185f3/full</t>
  </si>
  <si>
    <t>https://backend.roundshot.com/cams/dfdeb5699ce47c7cfa426c1a6736bca8/full</t>
  </si>
  <si>
    <t>https://backend.roundshot.com/cams/a6d5fca5d3624eb04cf9ecc48d5ec7d4/full</t>
  </si>
  <si>
    <t>https://backend.roundshot.com/cams/b707198b33fa2241df3f26e35eaa1be6/full</t>
  </si>
  <si>
    <t>https://backend.roundshot.com/cams/030ee68c2b79d9ed086c9acbd88e5851/full</t>
  </si>
  <si>
    <t>https://backend.roundshot.com/cams/8989932c38d693b067f00aa335b042ad/full</t>
  </si>
  <si>
    <t>https://backend.roundshot.com/cams/877919abdb23eb59f63908ab8b300f1f/full</t>
  </si>
  <si>
    <t>https://backend.roundshot.com/cams/e381c71b01e9896d52f13478095b80b1/full</t>
  </si>
  <si>
    <t>https://backend.roundshot.com/cams/f28a2aaab9c3a968e8fad16ae897fc48/full</t>
  </si>
  <si>
    <t>https://backend.roundshot.com/cams/adab77b14a5e6558eb223ee694f4bce4/full</t>
  </si>
  <si>
    <t>Winkel</t>
  </si>
  <si>
    <t>https://backend.roundshot.com/cams/c2f9e6ae46be1e54e574fe3a6572f176/full</t>
  </si>
  <si>
    <t>https://backend.roundshot.com/cams/8acf8be16f88a36a1646ea3208f4fbea/full</t>
  </si>
  <si>
    <t>https://backend.roundshot.com/cams/5c254d5efc0783c052c74cb6f2d374d1/full</t>
  </si>
  <si>
    <t>Brennweite, mm</t>
  </si>
  <si>
    <t>https://backend.roundshot.com/cams/7f747e55453529b3c6e80e332b3fe630/full</t>
  </si>
  <si>
    <t>https://backend.roundshot.com/cams/a869f88d49fcd090c5a8e9152b68c1bf/full</t>
  </si>
  <si>
    <t xml:space="preserve">https://backend.roundshot.com/cams/d74cd415505930883adc771b527d161b/full </t>
  </si>
  <si>
    <t>https://backend.roundshot.com/cams/eba943ecbd06eaa835c4e5c948741534/full</t>
  </si>
  <si>
    <t>https://backend.roundshot.com/cams/0798c8309d3948c472306b53be3bc531/full</t>
  </si>
  <si>
    <t>29. Harder Kulm</t>
  </si>
  <si>
    <t>31. Brienzer Rothorn</t>
  </si>
  <si>
    <t>32. Beatus Wellness &amp; Spa-Hotel</t>
  </si>
  <si>
    <t>Altitude (camera), m</t>
  </si>
  <si>
    <t>16. Belvedere Grindelwald</t>
  </si>
  <si>
    <t>Nord Grad</t>
  </si>
  <si>
    <t>Nord Pixel</t>
  </si>
  <si>
    <t>vertikal pixel</t>
  </si>
  <si>
    <t>horizontal pixel</t>
  </si>
  <si>
    <t>Field of view (FOV) height, °</t>
  </si>
  <si>
    <t>Sensorbreite, mm</t>
  </si>
  <si>
    <t>Field of view (FOV) width, °</t>
  </si>
  <si>
    <t>Sensorhoehe, mm</t>
  </si>
  <si>
    <t>19. Maennlichen Bergstation Wengen</t>
  </si>
  <si>
    <t>26. Edelweiss – Muerren</t>
  </si>
  <si>
    <t>30. Soerenberg - Brienzer Rothorn Gipfel</t>
  </si>
  <si>
    <t>23. Moenchsjochhuette – Grindelwald Tourismus</t>
  </si>
  <si>
    <t>18. Mittellegihuette – Grindelwald Tourismus</t>
  </si>
  <si>
    <t>15. Kirchbuehl – Grindelwald</t>
  </si>
  <si>
    <t>5. Meiringen Hasliberg – Kaeserstatt</t>
  </si>
  <si>
    <t>ID</t>
  </si>
  <si>
    <t>1-HEISCH</t>
  </si>
  <si>
    <t>2-BSPIEZ</t>
  </si>
  <si>
    <t>3-NIEDH</t>
  </si>
  <si>
    <t>4-FLSPA</t>
  </si>
  <si>
    <t>5-MEIKAES</t>
  </si>
  <si>
    <t>6-MEIMAEG</t>
  </si>
  <si>
    <t>7-MEIALPT</t>
  </si>
  <si>
    <t>10-AXALPW</t>
  </si>
  <si>
    <t>11-GRINDFAUL</t>
  </si>
  <si>
    <t>12-JUNGFSHREK</t>
  </si>
  <si>
    <t>13-GRINDBUS</t>
  </si>
  <si>
    <t>14-SCHYNIGE</t>
  </si>
  <si>
    <t>15-GRINDKIRCH</t>
  </si>
  <si>
    <t>16-GRINDBEL</t>
  </si>
  <si>
    <t>17-EIGM4</t>
  </si>
  <si>
    <t>18-GRINDMEGI</t>
  </si>
  <si>
    <t>19-MANN</t>
  </si>
  <si>
    <t>20-WENGBELL</t>
  </si>
  <si>
    <t>22-JUNGFEIG</t>
  </si>
  <si>
    <t>23-GRINDMJOCH</t>
  </si>
  <si>
    <t>25-JUNGFOST</t>
  </si>
  <si>
    <t>26-MUER</t>
  </si>
  <si>
    <t>27-SCHILTALL</t>
  </si>
  <si>
    <t>28-SCHILTBIR</t>
  </si>
  <si>
    <t>29-HARDKULM</t>
  </si>
  <si>
    <t>30-BRROTHG</t>
  </si>
  <si>
    <t>31-BRROTH</t>
  </si>
  <si>
    <t>32-BEASPA</t>
  </si>
  <si>
    <t>original pixel w</t>
  </si>
  <si>
    <t>original pixel h</t>
  </si>
  <si>
    <t>21-JUNGFLAUB</t>
  </si>
  <si>
    <t>GPS long, °E</t>
  </si>
  <si>
    <t>24. Jungfraujoch</t>
  </si>
  <si>
    <t xml:space="preserve">https://backend.roundshot.com/cams/584c8f65bd7b360eed6ffd43226cca8a/full </t>
  </si>
  <si>
    <t>24-JUNGFJ</t>
  </si>
  <si>
    <t>GPS lat, °N, WGS84</t>
  </si>
  <si>
    <t>Tilt Grad</t>
  </si>
  <si>
    <t>8. Melchsee-Frutt – Dorf</t>
  </si>
  <si>
    <t>https://backend.roundshot.com/cams/f27ffa2562241b7c4117fe3712f8e358/full</t>
  </si>
  <si>
    <t>9. Melchsee-Frutt – Bonistock</t>
  </si>
  <si>
    <t xml:space="preserve">https://backend.roundshot.com/cams/b47569138e111706fcba8d747b82451a/full </t>
  </si>
  <si>
    <t>9-MELCHBONI</t>
  </si>
  <si>
    <t>8-MELCHDRF</t>
  </si>
  <si>
    <t>Download Link</t>
  </si>
  <si>
    <t>real Field of view (FOV) width, °</t>
  </si>
  <si>
    <t>real Sensorbreite, mm</t>
  </si>
  <si>
    <t>horizontal pixel tot</t>
  </si>
  <si>
    <t>delta center</t>
  </si>
  <si>
    <t>cutMin</t>
  </si>
  <si>
    <t>cutMax</t>
  </si>
  <si>
    <t>Max pixel</t>
  </si>
  <si>
    <t>Altitude offset</t>
  </si>
  <si>
    <t>GPS, °N offset</t>
  </si>
  <si>
    <t>GPS, °E offset</t>
  </si>
  <si>
    <t>Tilt Grad offset</t>
  </si>
  <si>
    <t>Nord Pixel offset</t>
  </si>
  <si>
    <t>Download base</t>
  </si>
  <si>
    <t>https://storage2.roundshot.com/595e3fe12059f0.23556672/</t>
  </si>
  <si>
    <t>https://storage.roundshot.com/641966b464bea6.24393207/</t>
  </si>
  <si>
    <t>https://storage2.roundshot.com/5a902bcdd01f11.04145516/</t>
  </si>
  <si>
    <t>https://storage2.roundshot.com/5c4b331cc31ec6.62142760/</t>
  </si>
  <si>
    <t>https://storage2.roundshot.com/55799ba6e211b2.16310487/</t>
  </si>
  <si>
    <t>https://storage2.roundshot.com/53ce59bee8e0e9.48135677/</t>
  </si>
  <si>
    <t>https://storage2.roundshot.com/564f0328b9b989.00509554/</t>
  </si>
  <si>
    <t>https://storage.roundshot.com/53ce6e2b79e7b2.42704522/</t>
  </si>
  <si>
    <t>https://storage.roundshot.com/53ce6d3f058424.34843416/</t>
  </si>
  <si>
    <t>https://storage.roundshot.com/5f8ed3efe2a147.60061295/</t>
  </si>
  <si>
    <t>https://storage.roundshot.com/6515455eb12ee2.24928783/</t>
  </si>
  <si>
    <t>https://storage2.roundshot.com/6405a3bd31e815.69114684/</t>
  </si>
  <si>
    <t>https://storage2.roundshot.com/53a0446509fab0.00534517/</t>
  </si>
  <si>
    <t>https://storage.roundshot.com/5b07b425c33048.76749639/</t>
  </si>
  <si>
    <t>https://storage.roundshot.com/53a9904e274b39.54073038/</t>
  </si>
  <si>
    <t>https://storage2.roundshot.com/56dffea8826120.23800639/</t>
  </si>
  <si>
    <t>https://storage2.roundshot.com/5df0edf6b4e0b3.73492331/</t>
  </si>
  <si>
    <t>https://storage.roundshot.com/612f2577cd5005.18745687/</t>
  </si>
  <si>
    <t>https://storage2.roundshot.com/5dea20fe356da5.66127651/</t>
  </si>
  <si>
    <t>https://storage.roundshot.com/53a0470748e768.32694332/</t>
  </si>
  <si>
    <t>https://storage2.roundshot.com/64059bf5186439.31729937/</t>
  </si>
  <si>
    <t>https://storage2.roundshot.com/5aec2275b5dad4.34391000/</t>
  </si>
  <si>
    <t>https://storage2.roundshot.com/632990e5a68ba9.67225842/</t>
  </si>
  <si>
    <t>https://storage.roundshot.com/5e568a0aaea5b0.54147912/</t>
  </si>
  <si>
    <t>https://storage.roundshot.com/5bbfa31cd4b510.45617515/</t>
  </si>
  <si>
    <t>https://storage.roundshot.com/53a9860b3a5780.45862775/</t>
  </si>
  <si>
    <t>https://storage.roundshot.com/5639f2dbddec02.49212452/</t>
  </si>
  <si>
    <t>https://storage.roundshot.com/5639f2324797c3.98380703/</t>
  </si>
  <si>
    <t>https://storage2.roundshot.com/5ab8ba577a66e4.87843214/</t>
  </si>
  <si>
    <t>https://storage.roundshot.com/58c17d5df15144.54606734/</t>
  </si>
  <si>
    <t>https://storage2.roundshot.com/60d59dd50e5817.58412601/</t>
  </si>
  <si>
    <t>https://storage.roundshot.com/6166e782e2c750.93208089/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</si>
</sst>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_ * #,##0.0_ ;_ * \-#,##0.0_ ;_ * &quot;-&quot;??_ ;_ @_ 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0"/>
      <color theme="1"/>
      <name val="Arial"/>
      <family val="2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B050"/>
      <name val="Arial"/>
      <family val="2"/>
    </font>
    <font>
      <sz val="8"/>
      <name val="Calibri"/>
      <family val="2"/>
      <scheme val="minor"/>
    </font>
    <font>
      <sz val="11"/>
      <name val="Arial"/>
      <family val="2"/>
    </font>
    <font>
      <b/>
      <sz val="1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4" fillId="0" borderId="0" applyNumberFormat="0" applyFill="0" applyBorder="0" applyAlignment="0" applyProtection="0"/>
    <xf numFmtId="43" fontId="5" fillId="0" borderId="0" applyFont="0" applyFill="0" applyBorder="0" applyAlignment="0" applyProtection="0"/>
  </cellStyleXfs>
  <cellXfs count="20">
    <xf numFmtId="0" fontId="0" fillId="0" borderId="0" xfId="0"/>
    <xf numFmtId="0" fontId="1" fillId="0" borderId="0" xfId="0" applyFont="1"/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164" fontId="3" fillId="0" borderId="0" xfId="2" applyNumberFormat="1" applyFont="1" applyAlignment="1">
      <alignment horizontal="center"/>
    </xf>
    <xf numFmtId="164" fontId="1" fillId="0" borderId="0" xfId="2" applyNumberFormat="1" applyFont="1" applyAlignment="1">
      <alignment horizontal="center"/>
    </xf>
    <xf numFmtId="0" fontId="1" fillId="0" borderId="0" xfId="0" applyFont="1" applyAlignment="1">
      <alignment horizontal="left"/>
    </xf>
    <xf numFmtId="0" fontId="6" fillId="0" borderId="0" xfId="0" applyFont="1" applyAlignment="1">
      <alignment horizontal="left" vertical="center"/>
    </xf>
    <xf numFmtId="0" fontId="3" fillId="0" borderId="0" xfId="0" applyFont="1" applyAlignment="1">
      <alignment horizontal="left"/>
    </xf>
    <xf numFmtId="0" fontId="4" fillId="0" borderId="0" xfId="1" applyAlignment="1">
      <alignment horizontal="center"/>
    </xf>
    <xf numFmtId="0" fontId="1" fillId="0" borderId="0" xfId="0" applyFont="1" applyAlignment="1">
      <alignment horizontal="center"/>
    </xf>
    <xf numFmtId="1" fontId="1" fillId="0" borderId="0" xfId="2" applyNumberFormat="1" applyFont="1" applyAlignment="1">
      <alignment horizontal="center"/>
    </xf>
    <xf numFmtId="1" fontId="1" fillId="0" borderId="0" xfId="0" applyNumberFormat="1" applyFont="1" applyAlignment="1">
      <alignment horizontal="center"/>
    </xf>
    <xf numFmtId="0" fontId="4" fillId="0" borderId="0" xfId="1" applyAlignment="1">
      <alignment horizontal="center" vertical="center" wrapText="1"/>
    </xf>
    <xf numFmtId="0" fontId="2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2" fillId="0" borderId="0" xfId="0" applyFont="1"/>
    <xf numFmtId="0" fontId="8" fillId="0" borderId="0" xfId="0" applyFont="1"/>
    <xf numFmtId="0" fontId="9" fillId="0" borderId="0" xfId="0" applyFont="1"/>
    <xf numFmtId="0" fontId="8" fillId="2" borderId="0" xfId="0" applyFont="1" applyFill="1"/>
  </cellXfs>
  <cellStyles count="3">
    <cellStyle name="Komma" xfId="2" builtinId="3"/>
    <cellStyle name="Link" xfId="1" builtinId="8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backend.roundshot.com/cams/486d6b1c471c581a99233dc3e4cc3ab7/full" TargetMode="External"/><Relationship Id="rId18" Type="http://schemas.openxmlformats.org/officeDocument/2006/relationships/hyperlink" Target="https://backend.roundshot.com/cams/877919abdb23eb59f63908ab8b300f1f/full" TargetMode="External"/><Relationship Id="rId26" Type="http://schemas.openxmlformats.org/officeDocument/2006/relationships/hyperlink" Target="https://backend.roundshot.com/cams/a869f88d49fcd090c5a8e9152b68c1bf/full" TargetMode="External"/><Relationship Id="rId3" Type="http://schemas.openxmlformats.org/officeDocument/2006/relationships/hyperlink" Target="https://backend.roundshot.com/cams/4eaaee53dd7f3096501ec31f898185f3/full" TargetMode="External"/><Relationship Id="rId21" Type="http://schemas.openxmlformats.org/officeDocument/2006/relationships/hyperlink" Target="https://backend.roundshot.com/cams/adab77b14a5e6558eb223ee694f4bce4/full" TargetMode="External"/><Relationship Id="rId7" Type="http://schemas.openxmlformats.org/officeDocument/2006/relationships/hyperlink" Target="https://backend.roundshot.com/cams/b707198b33fa2241df3f26e35eaa1be6/full" TargetMode="External"/><Relationship Id="rId12" Type="http://schemas.openxmlformats.org/officeDocument/2006/relationships/hyperlink" Target="https://backend.roundshot.com/cams/527f953c3776c0552355d4a154c2b4e8/full" TargetMode="External"/><Relationship Id="rId17" Type="http://schemas.openxmlformats.org/officeDocument/2006/relationships/hyperlink" Target="https://backend.roundshot.com/cams/8989932c38d693b067f00aa335b042ad/full" TargetMode="External"/><Relationship Id="rId25" Type="http://schemas.openxmlformats.org/officeDocument/2006/relationships/hyperlink" Target="https://backend.roundshot.com/cams/7f747e55453529b3c6e80e332b3fe630/full" TargetMode="External"/><Relationship Id="rId33" Type="http://schemas.openxmlformats.org/officeDocument/2006/relationships/printerSettings" Target="../printerSettings/printerSettings1.bin"/><Relationship Id="rId2" Type="http://schemas.openxmlformats.org/officeDocument/2006/relationships/hyperlink" Target="https://backend.roundshot.com/cams/e08c6e0ae4563456d35cd1da7742b76c/full" TargetMode="External"/><Relationship Id="rId16" Type="http://schemas.openxmlformats.org/officeDocument/2006/relationships/hyperlink" Target="https://backend.roundshot.com/cams/81b7fba18c109eba003bb9e58ad7aca8/full" TargetMode="External"/><Relationship Id="rId20" Type="http://schemas.openxmlformats.org/officeDocument/2006/relationships/hyperlink" Target="https://backend.roundshot.com/cams/f28a2aaab9c3a968e8fad16ae897fc48/full" TargetMode="External"/><Relationship Id="rId29" Type="http://schemas.openxmlformats.org/officeDocument/2006/relationships/hyperlink" Target="https://backend.roundshot.com/cams/0798c8309d3948c472306b53be3bc531/full" TargetMode="External"/><Relationship Id="rId1" Type="http://schemas.openxmlformats.org/officeDocument/2006/relationships/hyperlink" Target="https://backend.roundshot.com/cams/dd60e715a226d2ffd861c788c23581ea/full" TargetMode="External"/><Relationship Id="rId6" Type="http://schemas.openxmlformats.org/officeDocument/2006/relationships/hyperlink" Target="https://backend.roundshot.com/cams/738cb178044c89590045c15ec2bf2726/full" TargetMode="External"/><Relationship Id="rId11" Type="http://schemas.openxmlformats.org/officeDocument/2006/relationships/hyperlink" Target="https://backend.roundshot.com/cams/8ebf876ae226aa03b0c65b0985e6f60e/full" TargetMode="External"/><Relationship Id="rId24" Type="http://schemas.openxmlformats.org/officeDocument/2006/relationships/hyperlink" Target="https://backend.roundshot.com/cams/5c254d5efc0783c052c74cb6f2d374d1/full" TargetMode="External"/><Relationship Id="rId32" Type="http://schemas.openxmlformats.org/officeDocument/2006/relationships/hyperlink" Target="https://backend.roundshot.com/cams/b47569138e111706fcba8d747b82451a/full" TargetMode="External"/><Relationship Id="rId5" Type="http://schemas.openxmlformats.org/officeDocument/2006/relationships/hyperlink" Target="https://backend.roundshot.com/cams/a6d5fca5d3624eb04cf9ecc48d5ec7d4/full" TargetMode="External"/><Relationship Id="rId15" Type="http://schemas.openxmlformats.org/officeDocument/2006/relationships/hyperlink" Target="https://backend.roundshot.com/cams/030ee68c2b79d9ed086c9acbd88e5851/full" TargetMode="External"/><Relationship Id="rId23" Type="http://schemas.openxmlformats.org/officeDocument/2006/relationships/hyperlink" Target="https://backend.roundshot.com/cams/8acf8be16f88a36a1646ea3208f4fbea/full" TargetMode="External"/><Relationship Id="rId28" Type="http://schemas.openxmlformats.org/officeDocument/2006/relationships/hyperlink" Target="https://backend.roundshot.com/cams/eba943ecbd06eaa835c4e5c948741534/full" TargetMode="External"/><Relationship Id="rId10" Type="http://schemas.openxmlformats.org/officeDocument/2006/relationships/hyperlink" Target="https://backend.roundshot.com/cams/9e425745e5de8732e6417c934111cb09/full" TargetMode="External"/><Relationship Id="rId19" Type="http://schemas.openxmlformats.org/officeDocument/2006/relationships/hyperlink" Target="https://backend.roundshot.com/cams/e381c71b01e9896d52f13478095b80b1/full" TargetMode="External"/><Relationship Id="rId31" Type="http://schemas.openxmlformats.org/officeDocument/2006/relationships/hyperlink" Target="https://backend.roundshot.com/cams/f27ffa2562241b7c4117fe3712f8e358/full" TargetMode="External"/><Relationship Id="rId4" Type="http://schemas.openxmlformats.org/officeDocument/2006/relationships/hyperlink" Target="https://backend.roundshot.com/cams/dfdeb5699ce47c7cfa426c1a6736bca8/full" TargetMode="External"/><Relationship Id="rId9" Type="http://schemas.openxmlformats.org/officeDocument/2006/relationships/hyperlink" Target="https://backend.roundshot.com/cams/c7f0edeec13d52b6c3cf91485d982548/full" TargetMode="External"/><Relationship Id="rId14" Type="http://schemas.openxmlformats.org/officeDocument/2006/relationships/hyperlink" Target="https://backend.roundshot.com/cams/dbb5da2713c66505f2004b60c6c56609/full" TargetMode="External"/><Relationship Id="rId22" Type="http://schemas.openxmlformats.org/officeDocument/2006/relationships/hyperlink" Target="https://backend.roundshot.com/cams/c2f9e6ae46be1e54e574fe3a6572f176/full" TargetMode="External"/><Relationship Id="rId27" Type="http://schemas.openxmlformats.org/officeDocument/2006/relationships/hyperlink" Target="https://backend.roundshot.com/cams/d74cd415505930883adc771b527d161b/full" TargetMode="External"/><Relationship Id="rId30" Type="http://schemas.openxmlformats.org/officeDocument/2006/relationships/hyperlink" Target="https://backend.roundshot.com/cams/584c8f65bd7b360eed6ffd43226cca8a/full" TargetMode="External"/><Relationship Id="rId8" Type="http://schemas.openxmlformats.org/officeDocument/2006/relationships/hyperlink" Target="https://backend.roundshot.com/cams/7823d0baddb829dad0ccc55bf912afe7/ful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9BC1FE-7365-4CBB-9CAD-4F4C361FFA77}">
  <dimension ref="A1:AT33"/>
  <sheetViews>
    <sheetView tabSelected="1" zoomScale="97" workbookViewId="0">
      <pane xSplit="2" ySplit="1" topLeftCell="H5" activePane="bottomRight" state="frozen"/>
      <selection pane="topRight" activeCell="C1" sqref="C1"/>
      <selection pane="bottomLeft" activeCell="A2" sqref="A2"/>
      <selection pane="bottomRight" activeCell="K34" sqref="K34"/>
    </sheetView>
  </sheetViews>
  <sheetFormatPr baseColWidth="10" defaultColWidth="11.3984375" defaultRowHeight="14.25" x14ac:dyDescent="0.45"/>
  <cols>
    <col min="1" max="1" width="18.33203125" style="1" customWidth="1"/>
    <col min="2" max="2" width="16.265625" style="1" customWidth="1"/>
    <col min="3" max="3" width="5.46484375" style="1" customWidth="1"/>
    <col min="4" max="4" width="7.46484375" style="1" customWidth="1"/>
    <col min="5" max="5" width="8.53125" style="5" customWidth="1"/>
    <col min="6" max="6" width="7.265625" style="5" customWidth="1"/>
    <col min="7" max="7" width="7.3984375" style="5" customWidth="1"/>
    <col min="8" max="8" width="8.46484375" style="5" customWidth="1"/>
    <col min="9" max="9" width="6.46484375" style="5" customWidth="1"/>
    <col min="10" max="10" width="8.33203125" style="5" customWidth="1"/>
    <col min="11" max="11" width="68.6640625" style="1" customWidth="1"/>
    <col min="12" max="12" width="52" style="1" customWidth="1"/>
    <col min="13" max="14" width="10.46484375" style="1" customWidth="1"/>
    <col min="15" max="17" width="11.3984375" style="1"/>
    <col min="18" max="18" width="9.06640625" style="1" customWidth="1"/>
    <col min="19" max="20" width="11.3984375" style="1"/>
    <col min="21" max="21" width="9.6640625" style="1" customWidth="1"/>
    <col min="22" max="22" width="5.6640625" style="1" customWidth="1"/>
    <col min="23" max="23" width="5.9296875" style="1" customWidth="1"/>
    <col min="24" max="24" width="11.3984375" style="1"/>
    <col min="25" max="25" width="10.46484375" style="1" customWidth="1"/>
    <col min="26" max="27" width="11.3984375" style="1"/>
    <col min="28" max="28" width="8.59765625" style="1" customWidth="1"/>
    <col min="29" max="29" width="7.9296875" style="1" customWidth="1"/>
    <col min="30" max="30" width="6.3984375" style="1" customWidth="1"/>
    <col min="31" max="31" width="7.9296875" style="1" customWidth="1"/>
    <col min="32" max="32" width="8.19921875" customWidth="1"/>
    <col min="33" max="33" width="8.1328125" style="1" customWidth="1"/>
    <col min="34" max="16384" width="11.3984375" style="1"/>
  </cols>
  <sheetData>
    <row r="1" spans="1:46" s="15" customFormat="1" ht="13.9" x14ac:dyDescent="0.4">
      <c r="A1" s="14" t="s">
        <v>18</v>
      </c>
      <c r="B1" s="14" t="s">
        <v>71</v>
      </c>
      <c r="C1" s="14" t="s">
        <v>19</v>
      </c>
      <c r="D1" s="14" t="s">
        <v>45</v>
      </c>
      <c r="E1" s="14" t="s">
        <v>63</v>
      </c>
      <c r="F1" s="14" t="s">
        <v>117</v>
      </c>
      <c r="G1" s="14" t="s">
        <v>61</v>
      </c>
      <c r="H1" s="14" t="s">
        <v>60</v>
      </c>
      <c r="I1" s="14" t="s">
        <v>116</v>
      </c>
      <c r="J1" s="14" t="s">
        <v>62</v>
      </c>
      <c r="K1" s="14" t="s">
        <v>115</v>
      </c>
      <c r="L1" s="14" t="s">
        <v>128</v>
      </c>
      <c r="M1" s="14" t="s">
        <v>100</v>
      </c>
      <c r="N1" s="14" t="s">
        <v>101</v>
      </c>
      <c r="O1" s="14" t="s">
        <v>118</v>
      </c>
      <c r="P1" s="14" t="s">
        <v>59</v>
      </c>
      <c r="Q1" s="14" t="s">
        <v>58</v>
      </c>
      <c r="R1" s="14" t="s">
        <v>41</v>
      </c>
      <c r="S1" s="14" t="s">
        <v>56</v>
      </c>
      <c r="T1" s="14" t="s">
        <v>57</v>
      </c>
      <c r="U1" s="14" t="s">
        <v>127</v>
      </c>
      <c r="V1" s="18" t="s">
        <v>108</v>
      </c>
      <c r="W1" s="18" t="s">
        <v>126</v>
      </c>
      <c r="X1" s="16" t="s">
        <v>107</v>
      </c>
      <c r="Y1" s="16" t="s">
        <v>124</v>
      </c>
      <c r="Z1" s="16" t="s">
        <v>103</v>
      </c>
      <c r="AA1" s="16" t="s">
        <v>125</v>
      </c>
      <c r="AB1" s="16" t="s">
        <v>54</v>
      </c>
      <c r="AC1" s="16" t="s">
        <v>123</v>
      </c>
      <c r="AD1" s="14" t="s">
        <v>119</v>
      </c>
      <c r="AE1" s="14" t="s">
        <v>120</v>
      </c>
      <c r="AF1" s="14" t="s">
        <v>121</v>
      </c>
      <c r="AG1" s="14" t="s">
        <v>122</v>
      </c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</row>
    <row r="2" spans="1:46" s="6" customFormat="1" x14ac:dyDescent="0.45">
      <c r="A2" s="7" t="s">
        <v>0</v>
      </c>
      <c r="B2" s="8" t="s">
        <v>72</v>
      </c>
      <c r="C2" s="2">
        <v>3</v>
      </c>
      <c r="D2" s="2">
        <v>35</v>
      </c>
      <c r="E2" s="4">
        <f>IF(OR(C2=2,C2=3),29.3,15.6)</f>
        <v>29.3</v>
      </c>
      <c r="F2" s="4">
        <f>IF(OR(C2=2,C2=3),,23.5)</f>
        <v>0</v>
      </c>
      <c r="G2" s="4">
        <f>IF(OR(C2=2,C2=3),44.1,23.5)</f>
        <v>44.1</v>
      </c>
      <c r="H2" s="4">
        <f>2*ATAN(E2/(2*D2))*180/PI()</f>
        <v>45.425585277403741</v>
      </c>
      <c r="I2" s="4">
        <f>2*ATAN(F2/(2*D2))*180/PI()</f>
        <v>0</v>
      </c>
      <c r="J2" s="4">
        <f>2*ATAN(G2/(2*D2))*180/PI()</f>
        <v>64.421855447347497</v>
      </c>
      <c r="K2" s="9" t="s">
        <v>30</v>
      </c>
      <c r="L2" s="9" t="s">
        <v>129</v>
      </c>
      <c r="M2" s="10">
        <f t="shared" ref="M2:M33" si="0">IF(OR(C2=2,C2=3),1,N2*3/2)</f>
        <v>1</v>
      </c>
      <c r="N2" s="10">
        <f t="shared" ref="N2:N33" si="1">IF(OR(C2=2,C2=3),2048,4160)</f>
        <v>2048</v>
      </c>
      <c r="O2" s="10">
        <v>15680</v>
      </c>
      <c r="P2" s="10">
        <v>3072</v>
      </c>
      <c r="Q2" s="10">
        <v>2048</v>
      </c>
      <c r="R2" s="10">
        <v>360</v>
      </c>
      <c r="S2" s="10">
        <v>200</v>
      </c>
      <c r="T2" s="12">
        <f t="shared" ref="T2:T33" si="2">O2/R2*S2</f>
        <v>8711.1111111111113</v>
      </c>
      <c r="U2" s="11">
        <v>-1550</v>
      </c>
      <c r="V2" s="17">
        <v>0</v>
      </c>
      <c r="W2" s="17">
        <v>0</v>
      </c>
      <c r="X2" s="1">
        <v>46.749611000000002</v>
      </c>
      <c r="Y2" s="1">
        <v>0</v>
      </c>
      <c r="Z2" s="1">
        <v>7.6934069999999997</v>
      </c>
      <c r="AA2" s="1">
        <v>0</v>
      </c>
      <c r="AB2" s="1">
        <v>1134</v>
      </c>
      <c r="AC2" s="1">
        <v>0</v>
      </c>
      <c r="AD2" s="1">
        <v>0</v>
      </c>
      <c r="AE2" s="1">
        <v>0</v>
      </c>
      <c r="AF2" s="1">
        <v>0</v>
      </c>
      <c r="AG2" s="1">
        <v>0</v>
      </c>
    </row>
    <row r="3" spans="1:46" s="6" customFormat="1" x14ac:dyDescent="0.45">
      <c r="A3" s="7" t="s">
        <v>1</v>
      </c>
      <c r="B3" s="8" t="s">
        <v>73</v>
      </c>
      <c r="C3" s="2">
        <v>5</v>
      </c>
      <c r="D3" s="2">
        <v>20</v>
      </c>
      <c r="E3" s="4">
        <f t="shared" ref="E3:E8" si="3">IF(OR(C3=2,C3=3),29.3,15.6)</f>
        <v>15.6</v>
      </c>
      <c r="F3" s="4">
        <f>IF(OR(C3=2,C3=3),,23.5)</f>
        <v>23.5</v>
      </c>
      <c r="G3" s="4">
        <f t="shared" ref="G3:G33" si="4">IF(OR(C3=2,C3=3),44.1,23.5)</f>
        <v>23.5</v>
      </c>
      <c r="H3" s="4">
        <f t="shared" ref="H3:H33" si="5">2*ATAN(E3/(2*D3))*180/PI()</f>
        <v>42.611567235657546</v>
      </c>
      <c r="I3" s="4">
        <f>2*ATAN(F3/(2*D3))*180/PI()</f>
        <v>60.868471506886827</v>
      </c>
      <c r="J3" s="4">
        <f t="shared" ref="J3:J33" si="6">2*ATAN(G3/(2*D3))*180/PI()</f>
        <v>60.868471506886827</v>
      </c>
      <c r="K3" s="9" t="s">
        <v>20</v>
      </c>
      <c r="L3" s="9" t="s">
        <v>130</v>
      </c>
      <c r="M3" s="10">
        <f t="shared" si="0"/>
        <v>6240</v>
      </c>
      <c r="N3" s="10">
        <f t="shared" si="1"/>
        <v>4160</v>
      </c>
      <c r="O3" s="10">
        <v>6901</v>
      </c>
      <c r="P3" s="10">
        <v>3072</v>
      </c>
      <c r="Q3" s="10">
        <v>2048</v>
      </c>
      <c r="R3" s="10">
        <v>150</v>
      </c>
      <c r="S3" s="10">
        <v>20</v>
      </c>
      <c r="T3" s="12">
        <f t="shared" si="2"/>
        <v>920.13333333333333</v>
      </c>
      <c r="U3" s="11">
        <v>-920</v>
      </c>
      <c r="V3" s="17">
        <v>5</v>
      </c>
      <c r="W3" s="17">
        <v>-5</v>
      </c>
      <c r="X3" s="1">
        <v>46.687260000000002</v>
      </c>
      <c r="Y3" s="1">
        <v>0</v>
      </c>
      <c r="Z3" s="1">
        <v>7.6818999999999997</v>
      </c>
      <c r="AA3" s="1">
        <v>0</v>
      </c>
      <c r="AB3" s="1">
        <v>599</v>
      </c>
      <c r="AC3" s="1">
        <v>0</v>
      </c>
      <c r="AD3" s="1">
        <v>-2</v>
      </c>
      <c r="AE3" s="1">
        <v>254</v>
      </c>
      <c r="AF3" s="1">
        <v>3911</v>
      </c>
      <c r="AG3" s="1">
        <v>4169</v>
      </c>
    </row>
    <row r="4" spans="1:46" s="6" customFormat="1" x14ac:dyDescent="0.45">
      <c r="A4" s="7" t="s">
        <v>2</v>
      </c>
      <c r="B4" s="8" t="s">
        <v>74</v>
      </c>
      <c r="C4" s="2">
        <v>3</v>
      </c>
      <c r="D4" s="2">
        <v>35</v>
      </c>
      <c r="E4" s="4">
        <f t="shared" si="3"/>
        <v>29.3</v>
      </c>
      <c r="F4" s="4">
        <f t="shared" ref="F4:F33" si="7">IF(OR(C4=2,C4=3),,23.5)</f>
        <v>0</v>
      </c>
      <c r="G4" s="4">
        <f t="shared" si="4"/>
        <v>44.1</v>
      </c>
      <c r="H4" s="4">
        <f t="shared" si="5"/>
        <v>45.425585277403741</v>
      </c>
      <c r="I4" s="4">
        <f t="shared" ref="I4:I33" si="8">2*ATAN(F4/(2*D4))*180/PI()</f>
        <v>0</v>
      </c>
      <c r="J4" s="4">
        <f t="shared" si="6"/>
        <v>64.421855447347497</v>
      </c>
      <c r="K4" s="9" t="s">
        <v>31</v>
      </c>
      <c r="L4" s="9" t="s">
        <v>131</v>
      </c>
      <c r="M4" s="10">
        <f t="shared" si="0"/>
        <v>1</v>
      </c>
      <c r="N4" s="10">
        <f t="shared" si="1"/>
        <v>2048</v>
      </c>
      <c r="O4" s="10">
        <v>15680</v>
      </c>
      <c r="P4" s="10">
        <v>3072</v>
      </c>
      <c r="Q4" s="10">
        <v>2048</v>
      </c>
      <c r="R4" s="10">
        <v>360</v>
      </c>
      <c r="S4" s="10">
        <v>0</v>
      </c>
      <c r="T4" s="12">
        <f t="shared" si="2"/>
        <v>0</v>
      </c>
      <c r="U4" s="10">
        <v>14800</v>
      </c>
      <c r="V4" s="17">
        <v>0</v>
      </c>
      <c r="W4" s="17">
        <v>1</v>
      </c>
      <c r="X4" s="1">
        <v>46.710560000000001</v>
      </c>
      <c r="Y4" s="1">
        <v>0</v>
      </c>
      <c r="Z4" s="1">
        <v>7.7751609999999998</v>
      </c>
      <c r="AA4" s="1">
        <v>0</v>
      </c>
      <c r="AB4" s="1">
        <v>1948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</row>
    <row r="5" spans="1:46" s="6" customFormat="1" x14ac:dyDescent="0.45">
      <c r="A5" s="7" t="s">
        <v>3</v>
      </c>
      <c r="B5" s="8" t="s">
        <v>75</v>
      </c>
      <c r="C5" s="2">
        <v>3</v>
      </c>
      <c r="D5" s="2">
        <v>24</v>
      </c>
      <c r="E5" s="4">
        <f t="shared" si="3"/>
        <v>29.3</v>
      </c>
      <c r="F5" s="4">
        <f t="shared" si="7"/>
        <v>0</v>
      </c>
      <c r="G5" s="4">
        <f t="shared" si="4"/>
        <v>44.1</v>
      </c>
      <c r="H5" s="4">
        <f t="shared" si="5"/>
        <v>62.801173774098324</v>
      </c>
      <c r="I5" s="4">
        <f t="shared" si="8"/>
        <v>0</v>
      </c>
      <c r="J5" s="4">
        <f t="shared" si="6"/>
        <v>85.150485911924036</v>
      </c>
      <c r="K5" s="9" t="s">
        <v>44</v>
      </c>
      <c r="L5" s="9" t="s">
        <v>132</v>
      </c>
      <c r="M5" s="10">
        <f t="shared" si="0"/>
        <v>1</v>
      </c>
      <c r="N5" s="10">
        <f t="shared" si="1"/>
        <v>2048</v>
      </c>
      <c r="O5" s="10">
        <v>7760</v>
      </c>
      <c r="P5" s="10">
        <v>3072</v>
      </c>
      <c r="Q5" s="10">
        <v>2048</v>
      </c>
      <c r="R5" s="10">
        <v>260</v>
      </c>
      <c r="S5" s="10">
        <v>20</v>
      </c>
      <c r="T5" s="12">
        <f t="shared" si="2"/>
        <v>596.92307692307691</v>
      </c>
      <c r="U5" s="11">
        <v>90</v>
      </c>
      <c r="V5" s="17">
        <v>0</v>
      </c>
      <c r="W5" s="17">
        <v>0</v>
      </c>
      <c r="X5" s="1">
        <v>46.731034999999999</v>
      </c>
      <c r="Y5" s="1">
        <v>0</v>
      </c>
      <c r="Z5" s="1">
        <v>7.9512460000000003</v>
      </c>
      <c r="AA5" s="1">
        <v>0</v>
      </c>
      <c r="AB5" s="1">
        <v>570</v>
      </c>
      <c r="AC5" s="1">
        <v>20</v>
      </c>
      <c r="AD5" s="1">
        <v>0</v>
      </c>
      <c r="AE5" s="1">
        <v>0</v>
      </c>
      <c r="AF5" s="1">
        <v>0</v>
      </c>
      <c r="AG5" s="1">
        <v>0</v>
      </c>
    </row>
    <row r="6" spans="1:46" s="6" customFormat="1" x14ac:dyDescent="0.45">
      <c r="A6" s="7" t="s">
        <v>70</v>
      </c>
      <c r="B6" s="8" t="s">
        <v>76</v>
      </c>
      <c r="C6" s="2">
        <v>2</v>
      </c>
      <c r="D6" s="2">
        <v>24</v>
      </c>
      <c r="E6" s="4">
        <f t="shared" si="3"/>
        <v>29.3</v>
      </c>
      <c r="F6" s="4">
        <f t="shared" si="7"/>
        <v>0</v>
      </c>
      <c r="G6" s="4">
        <f t="shared" si="4"/>
        <v>44.1</v>
      </c>
      <c r="H6" s="4">
        <f t="shared" si="5"/>
        <v>62.801173774098324</v>
      </c>
      <c r="I6" s="4">
        <f t="shared" si="8"/>
        <v>0</v>
      </c>
      <c r="J6" s="4">
        <f t="shared" si="6"/>
        <v>85.150485911924036</v>
      </c>
      <c r="K6" s="9" t="s">
        <v>32</v>
      </c>
      <c r="L6" s="9" t="s">
        <v>133</v>
      </c>
      <c r="M6" s="10">
        <f t="shared" si="0"/>
        <v>1</v>
      </c>
      <c r="N6" s="10">
        <f t="shared" si="1"/>
        <v>2048</v>
      </c>
      <c r="O6" s="10">
        <v>10771</v>
      </c>
      <c r="P6" s="10">
        <v>3072</v>
      </c>
      <c r="Q6" s="10">
        <v>2048</v>
      </c>
      <c r="R6" s="10">
        <v>360</v>
      </c>
      <c r="S6" s="10">
        <v>355</v>
      </c>
      <c r="T6" s="12">
        <f t="shared" si="2"/>
        <v>10621.402777777777</v>
      </c>
      <c r="U6" s="11">
        <v>-10400</v>
      </c>
      <c r="V6" s="17">
        <v>0</v>
      </c>
      <c r="W6" s="17">
        <v>1</v>
      </c>
      <c r="X6" s="1">
        <v>46.757572000000003</v>
      </c>
      <c r="Y6" s="1">
        <v>0</v>
      </c>
      <c r="Z6" s="1">
        <v>8.2187719999999995</v>
      </c>
      <c r="AA6" s="1">
        <v>0</v>
      </c>
      <c r="AB6" s="1">
        <v>1833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</row>
    <row r="7" spans="1:46" s="6" customFormat="1" x14ac:dyDescent="0.45">
      <c r="A7" s="7" t="s">
        <v>4</v>
      </c>
      <c r="B7" s="8" t="s">
        <v>77</v>
      </c>
      <c r="C7" s="2">
        <v>2</v>
      </c>
      <c r="D7" s="2">
        <v>24</v>
      </c>
      <c r="E7" s="4">
        <f t="shared" si="3"/>
        <v>29.3</v>
      </c>
      <c r="F7" s="4">
        <f t="shared" si="7"/>
        <v>0</v>
      </c>
      <c r="G7" s="4">
        <f t="shared" si="4"/>
        <v>44.1</v>
      </c>
      <c r="H7" s="4">
        <f t="shared" si="5"/>
        <v>62.801173774098324</v>
      </c>
      <c r="I7" s="4">
        <f t="shared" si="8"/>
        <v>0</v>
      </c>
      <c r="J7" s="4">
        <f t="shared" si="6"/>
        <v>85.150485911924036</v>
      </c>
      <c r="K7" s="9" t="s">
        <v>33</v>
      </c>
      <c r="L7" s="9" t="s">
        <v>134</v>
      </c>
      <c r="M7" s="10">
        <f t="shared" si="0"/>
        <v>1</v>
      </c>
      <c r="N7" s="10">
        <f t="shared" si="1"/>
        <v>2048</v>
      </c>
      <c r="O7" s="10">
        <v>10771</v>
      </c>
      <c r="P7" s="10">
        <v>3072</v>
      </c>
      <c r="Q7" s="10">
        <v>2048</v>
      </c>
      <c r="R7" s="10">
        <v>360</v>
      </c>
      <c r="S7" s="10">
        <v>190</v>
      </c>
      <c r="T7" s="12">
        <f t="shared" si="2"/>
        <v>5684.6944444444443</v>
      </c>
      <c r="U7" s="11">
        <v>18</v>
      </c>
      <c r="V7" s="17">
        <v>0</v>
      </c>
      <c r="W7" s="17">
        <v>0</v>
      </c>
      <c r="X7" s="1">
        <v>46.749265000000001</v>
      </c>
      <c r="Y7" s="1">
        <v>0</v>
      </c>
      <c r="Z7" s="1">
        <v>8.2368620000000004</v>
      </c>
      <c r="AA7" s="1">
        <v>0</v>
      </c>
      <c r="AB7" s="1">
        <v>1709</v>
      </c>
      <c r="AC7" s="1">
        <v>10</v>
      </c>
      <c r="AD7" s="1">
        <v>0</v>
      </c>
      <c r="AE7" s="1">
        <v>0</v>
      </c>
      <c r="AF7" s="1">
        <v>0</v>
      </c>
      <c r="AG7" s="1">
        <v>0</v>
      </c>
    </row>
    <row r="8" spans="1:46" s="6" customFormat="1" x14ac:dyDescent="0.45">
      <c r="A8" s="7" t="s">
        <v>5</v>
      </c>
      <c r="B8" s="8" t="s">
        <v>78</v>
      </c>
      <c r="C8" s="2">
        <v>2</v>
      </c>
      <c r="D8" s="2">
        <v>35</v>
      </c>
      <c r="E8" s="4">
        <f t="shared" si="3"/>
        <v>29.3</v>
      </c>
      <c r="F8" s="4">
        <f t="shared" si="7"/>
        <v>0</v>
      </c>
      <c r="G8" s="4">
        <f t="shared" si="4"/>
        <v>44.1</v>
      </c>
      <c r="H8" s="4">
        <f t="shared" si="5"/>
        <v>45.425585277403741</v>
      </c>
      <c r="I8" s="4">
        <f t="shared" si="8"/>
        <v>0</v>
      </c>
      <c r="J8" s="4">
        <f t="shared" si="6"/>
        <v>64.421855447347497</v>
      </c>
      <c r="K8" s="9" t="s">
        <v>21</v>
      </c>
      <c r="L8" s="9" t="s">
        <v>135</v>
      </c>
      <c r="M8" s="10">
        <f t="shared" si="0"/>
        <v>1</v>
      </c>
      <c r="N8" s="10">
        <f t="shared" si="1"/>
        <v>2048</v>
      </c>
      <c r="O8" s="10">
        <v>16701</v>
      </c>
      <c r="P8" s="10">
        <v>3072</v>
      </c>
      <c r="Q8" s="10">
        <v>2048</v>
      </c>
      <c r="R8" s="10">
        <v>360</v>
      </c>
      <c r="S8" s="10">
        <v>230</v>
      </c>
      <c r="T8" s="12">
        <f t="shared" si="2"/>
        <v>10670.083333333334</v>
      </c>
      <c r="U8" s="11">
        <v>-130</v>
      </c>
      <c r="V8" s="17">
        <v>1</v>
      </c>
      <c r="W8" s="17">
        <v>0</v>
      </c>
      <c r="X8" s="1">
        <v>46.736775000000002</v>
      </c>
      <c r="Y8" s="1">
        <v>0</v>
      </c>
      <c r="Z8" s="1">
        <v>8.2550349999999995</v>
      </c>
      <c r="AA8" s="1">
        <v>0</v>
      </c>
      <c r="AB8" s="1">
        <v>2245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</row>
    <row r="9" spans="1:46" s="6" customFormat="1" x14ac:dyDescent="0.45">
      <c r="A9" s="7" t="s">
        <v>109</v>
      </c>
      <c r="B9" s="6" t="s">
        <v>114</v>
      </c>
      <c r="C9" s="2">
        <v>2</v>
      </c>
      <c r="D9" s="2">
        <v>24</v>
      </c>
      <c r="E9" s="4">
        <f t="shared" ref="E9" si="9">IF(OR(C9=2,C9=3),29.3,15.6)</f>
        <v>29.3</v>
      </c>
      <c r="F9" s="4">
        <f t="shared" si="7"/>
        <v>0</v>
      </c>
      <c r="G9" s="4">
        <f t="shared" si="4"/>
        <v>44.1</v>
      </c>
      <c r="H9" s="4">
        <f t="shared" si="5"/>
        <v>62.801173774098324</v>
      </c>
      <c r="I9" s="4">
        <f t="shared" si="8"/>
        <v>0</v>
      </c>
      <c r="J9" s="4">
        <f t="shared" si="6"/>
        <v>85.150485911924036</v>
      </c>
      <c r="K9" s="9" t="s">
        <v>110</v>
      </c>
      <c r="L9" s="9" t="s">
        <v>136</v>
      </c>
      <c r="M9" s="10">
        <f t="shared" si="0"/>
        <v>1</v>
      </c>
      <c r="N9" s="10">
        <f t="shared" si="1"/>
        <v>2048</v>
      </c>
      <c r="O9" s="10">
        <v>10771</v>
      </c>
      <c r="P9" s="10">
        <v>3072</v>
      </c>
      <c r="Q9" s="10">
        <v>2048</v>
      </c>
      <c r="R9" s="10">
        <v>360</v>
      </c>
      <c r="S9" s="10">
        <v>70</v>
      </c>
      <c r="T9" s="12">
        <f t="shared" si="2"/>
        <v>2094.3611111111113</v>
      </c>
      <c r="U9" s="11">
        <v>0</v>
      </c>
      <c r="V9" s="17">
        <v>0</v>
      </c>
      <c r="W9" s="17">
        <v>0</v>
      </c>
      <c r="X9" s="1">
        <v>46.774624000000003</v>
      </c>
      <c r="Y9" s="1">
        <v>1.2639999999999999E-3</v>
      </c>
      <c r="Z9" s="1">
        <v>8.2685239999999993</v>
      </c>
      <c r="AA9" s="1">
        <v>7.3800000000000005E-4</v>
      </c>
      <c r="AB9" s="1">
        <v>1916</v>
      </c>
      <c r="AC9" s="1">
        <v>29</v>
      </c>
      <c r="AD9" s="1">
        <v>0</v>
      </c>
      <c r="AE9" s="1">
        <v>0</v>
      </c>
      <c r="AF9" s="1">
        <v>0</v>
      </c>
      <c r="AG9" s="1">
        <v>0</v>
      </c>
    </row>
    <row r="10" spans="1:46" s="6" customFormat="1" x14ac:dyDescent="0.45">
      <c r="A10" s="7" t="s">
        <v>111</v>
      </c>
      <c r="B10" s="6" t="s">
        <v>113</v>
      </c>
      <c r="C10" s="2">
        <v>2</v>
      </c>
      <c r="D10" s="2">
        <v>35</v>
      </c>
      <c r="E10" s="4">
        <f>IF(OR(C10=2,C10=3),29.3,15.6)</f>
        <v>29.3</v>
      </c>
      <c r="F10" s="4">
        <f t="shared" si="7"/>
        <v>0</v>
      </c>
      <c r="G10" s="4">
        <f t="shared" si="4"/>
        <v>44.1</v>
      </c>
      <c r="H10" s="4">
        <f t="shared" si="5"/>
        <v>45.425585277403741</v>
      </c>
      <c r="I10" s="4">
        <f t="shared" si="8"/>
        <v>0</v>
      </c>
      <c r="J10" s="4">
        <f t="shared" si="6"/>
        <v>64.421855447347497</v>
      </c>
      <c r="K10" s="9" t="s">
        <v>112</v>
      </c>
      <c r="L10" s="9" t="s">
        <v>137</v>
      </c>
      <c r="M10" s="10">
        <f t="shared" si="0"/>
        <v>1</v>
      </c>
      <c r="N10" s="10">
        <f t="shared" si="1"/>
        <v>2048</v>
      </c>
      <c r="O10" s="10">
        <v>15707</v>
      </c>
      <c r="P10" s="10">
        <v>3072</v>
      </c>
      <c r="Q10" s="10">
        <v>2048</v>
      </c>
      <c r="R10" s="10">
        <v>360</v>
      </c>
      <c r="S10" s="10">
        <v>90</v>
      </c>
      <c r="T10" s="12">
        <f t="shared" si="2"/>
        <v>3926.7499999999995</v>
      </c>
      <c r="U10" s="11">
        <v>0</v>
      </c>
      <c r="V10" s="17">
        <v>0</v>
      </c>
      <c r="W10" s="17">
        <v>0</v>
      </c>
      <c r="X10" s="1">
        <v>46.777667000000001</v>
      </c>
      <c r="Y10" s="1">
        <v>0</v>
      </c>
      <c r="Z10" s="1">
        <v>8.2899150000000006</v>
      </c>
      <c r="AA10" s="1">
        <v>0</v>
      </c>
      <c r="AB10" s="1">
        <v>2063</v>
      </c>
      <c r="AC10" s="1">
        <v>110</v>
      </c>
      <c r="AD10" s="1">
        <v>0</v>
      </c>
      <c r="AE10" s="1">
        <v>0</v>
      </c>
      <c r="AF10" s="1">
        <v>0</v>
      </c>
      <c r="AG10" s="1">
        <v>0</v>
      </c>
    </row>
    <row r="11" spans="1:46" s="6" customFormat="1" x14ac:dyDescent="0.45">
      <c r="A11" s="7" t="s">
        <v>6</v>
      </c>
      <c r="B11" s="8" t="s">
        <v>79</v>
      </c>
      <c r="C11" s="2">
        <v>3</v>
      </c>
      <c r="D11" s="2">
        <v>24</v>
      </c>
      <c r="E11" s="4">
        <f t="shared" ref="E11:E32" si="10">IF(OR(C11=2,C11=3),29.3,15.6)</f>
        <v>29.3</v>
      </c>
      <c r="F11" s="4">
        <f t="shared" si="7"/>
        <v>0</v>
      </c>
      <c r="G11" s="4">
        <f t="shared" si="4"/>
        <v>44.1</v>
      </c>
      <c r="H11" s="4">
        <f t="shared" si="5"/>
        <v>62.801173774098324</v>
      </c>
      <c r="I11" s="4">
        <f t="shared" si="8"/>
        <v>0</v>
      </c>
      <c r="J11" s="4">
        <f t="shared" si="6"/>
        <v>85.150485911924036</v>
      </c>
      <c r="K11" s="9" t="s">
        <v>34</v>
      </c>
      <c r="L11" s="9" t="s">
        <v>138</v>
      </c>
      <c r="M11" s="10">
        <f t="shared" si="0"/>
        <v>1</v>
      </c>
      <c r="N11" s="10">
        <f t="shared" si="1"/>
        <v>2048</v>
      </c>
      <c r="O11" s="10">
        <v>10752</v>
      </c>
      <c r="P11" s="10">
        <v>3072</v>
      </c>
      <c r="Q11" s="10">
        <v>2048</v>
      </c>
      <c r="R11" s="10">
        <v>360</v>
      </c>
      <c r="S11" s="10">
        <v>150</v>
      </c>
      <c r="T11" s="12">
        <f t="shared" si="2"/>
        <v>4480</v>
      </c>
      <c r="U11" s="11">
        <v>0</v>
      </c>
      <c r="V11" s="17">
        <v>0</v>
      </c>
      <c r="W11" s="17">
        <v>0</v>
      </c>
      <c r="X11" s="1">
        <v>46.709738000000002</v>
      </c>
      <c r="Y11" s="1">
        <v>0</v>
      </c>
      <c r="Z11" s="1">
        <v>8.0415240000000008</v>
      </c>
      <c r="AA11" s="1">
        <v>0</v>
      </c>
      <c r="AB11" s="1">
        <v>1950</v>
      </c>
      <c r="AC11" s="1">
        <v>-24</v>
      </c>
      <c r="AD11" s="1">
        <v>0</v>
      </c>
      <c r="AE11" s="1">
        <v>0</v>
      </c>
      <c r="AF11" s="1">
        <v>0</v>
      </c>
      <c r="AG11" s="1">
        <v>0</v>
      </c>
    </row>
    <row r="12" spans="1:46" s="6" customFormat="1" x14ac:dyDescent="0.45">
      <c r="A12" s="7" t="s">
        <v>7</v>
      </c>
      <c r="B12" s="8" t="s">
        <v>80</v>
      </c>
      <c r="C12" s="2">
        <v>5</v>
      </c>
      <c r="D12" s="2">
        <v>12</v>
      </c>
      <c r="E12" s="4">
        <f t="shared" si="10"/>
        <v>15.6</v>
      </c>
      <c r="F12" s="4">
        <f t="shared" si="7"/>
        <v>23.5</v>
      </c>
      <c r="G12" s="4">
        <f t="shared" si="4"/>
        <v>23.5</v>
      </c>
      <c r="H12" s="4">
        <f t="shared" si="5"/>
        <v>66.047735111593298</v>
      </c>
      <c r="I12" s="4">
        <f t="shared" si="8"/>
        <v>88.793817611238936</v>
      </c>
      <c r="J12" s="4">
        <f t="shared" si="6"/>
        <v>88.793817611238936</v>
      </c>
      <c r="K12" s="9" t="s">
        <v>22</v>
      </c>
      <c r="L12" s="9" t="s">
        <v>139</v>
      </c>
      <c r="M12" s="10">
        <f t="shared" si="0"/>
        <v>6240</v>
      </c>
      <c r="N12" s="10">
        <f t="shared" si="1"/>
        <v>4160</v>
      </c>
      <c r="O12" s="10">
        <v>11564</v>
      </c>
      <c r="P12" s="10">
        <v>3072</v>
      </c>
      <c r="Q12" s="10">
        <v>2048</v>
      </c>
      <c r="R12" s="10">
        <v>360</v>
      </c>
      <c r="S12" s="10">
        <v>290</v>
      </c>
      <c r="T12" s="12">
        <f t="shared" si="2"/>
        <v>9315.4444444444434</v>
      </c>
      <c r="U12" s="11">
        <v>0</v>
      </c>
      <c r="V12" s="17">
        <v>0</v>
      </c>
      <c r="W12" s="17">
        <v>0</v>
      </c>
      <c r="X12" s="1">
        <v>46.674970000000002</v>
      </c>
      <c r="Y12" s="1">
        <v>0</v>
      </c>
      <c r="Z12" s="1">
        <v>7.9994899999999998</v>
      </c>
      <c r="AA12" s="1">
        <v>0</v>
      </c>
      <c r="AB12" s="1">
        <v>2685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</row>
    <row r="13" spans="1:46" s="6" customFormat="1" x14ac:dyDescent="0.45">
      <c r="A13" s="7" t="s">
        <v>8</v>
      </c>
      <c r="B13" s="8" t="s">
        <v>81</v>
      </c>
      <c r="C13" s="2">
        <v>4</v>
      </c>
      <c r="D13" s="2">
        <v>16</v>
      </c>
      <c r="E13" s="4">
        <f t="shared" si="10"/>
        <v>15.6</v>
      </c>
      <c r="F13" s="4">
        <f t="shared" si="7"/>
        <v>23.5</v>
      </c>
      <c r="G13" s="4">
        <f t="shared" si="4"/>
        <v>23.5</v>
      </c>
      <c r="H13" s="4">
        <f t="shared" si="5"/>
        <v>51.978467167666018</v>
      </c>
      <c r="I13" s="4">
        <f t="shared" si="8"/>
        <v>72.585259456959193</v>
      </c>
      <c r="J13" s="4">
        <f t="shared" si="6"/>
        <v>72.585259456959193</v>
      </c>
      <c r="K13" s="9" t="s">
        <v>23</v>
      </c>
      <c r="L13" s="9" t="s">
        <v>140</v>
      </c>
      <c r="M13" s="10">
        <f t="shared" si="0"/>
        <v>6240</v>
      </c>
      <c r="N13" s="10">
        <f t="shared" si="1"/>
        <v>4160</v>
      </c>
      <c r="O13" s="10">
        <v>14338</v>
      </c>
      <c r="P13" s="10">
        <v>3072</v>
      </c>
      <c r="Q13" s="10">
        <v>2048</v>
      </c>
      <c r="R13" s="10">
        <v>360</v>
      </c>
      <c r="S13" s="10">
        <v>20</v>
      </c>
      <c r="T13" s="12">
        <f t="shared" si="2"/>
        <v>796.55555555555554</v>
      </c>
      <c r="U13" s="11">
        <v>0</v>
      </c>
      <c r="V13" s="17">
        <v>5</v>
      </c>
      <c r="W13" s="17">
        <v>0</v>
      </c>
      <c r="X13" s="1">
        <v>46.658369999999998</v>
      </c>
      <c r="Y13" s="1">
        <v>0</v>
      </c>
      <c r="Z13" s="1">
        <v>8.0651100000000007</v>
      </c>
      <c r="AA13" s="1">
        <v>0</v>
      </c>
      <c r="AB13" s="1">
        <v>1970</v>
      </c>
      <c r="AC13" s="1">
        <v>0</v>
      </c>
      <c r="AD13" s="1">
        <v>27</v>
      </c>
      <c r="AE13" s="1">
        <v>190</v>
      </c>
      <c r="AF13" s="1">
        <v>4062</v>
      </c>
      <c r="AG13" s="1">
        <v>4199</v>
      </c>
    </row>
    <row r="14" spans="1:46" s="6" customFormat="1" x14ac:dyDescent="0.45">
      <c r="A14" s="7" t="s">
        <v>9</v>
      </c>
      <c r="B14" s="8" t="s">
        <v>82</v>
      </c>
      <c r="C14" s="3">
        <v>2</v>
      </c>
      <c r="D14" s="3">
        <v>24</v>
      </c>
      <c r="E14" s="4">
        <f t="shared" si="10"/>
        <v>29.3</v>
      </c>
      <c r="F14" s="4">
        <f t="shared" si="7"/>
        <v>0</v>
      </c>
      <c r="G14" s="4">
        <f t="shared" si="4"/>
        <v>44.1</v>
      </c>
      <c r="H14" s="4">
        <f t="shared" si="5"/>
        <v>62.801173774098324</v>
      </c>
      <c r="I14" s="4">
        <f t="shared" si="8"/>
        <v>0</v>
      </c>
      <c r="J14" s="4">
        <f t="shared" si="6"/>
        <v>85.150485911924036</v>
      </c>
      <c r="K14" s="9" t="s">
        <v>42</v>
      </c>
      <c r="L14" s="9" t="s">
        <v>141</v>
      </c>
      <c r="M14" s="10">
        <f t="shared" si="0"/>
        <v>1</v>
      </c>
      <c r="N14" s="10">
        <f t="shared" si="1"/>
        <v>2048</v>
      </c>
      <c r="O14" s="10">
        <v>10771</v>
      </c>
      <c r="P14" s="10">
        <v>3072</v>
      </c>
      <c r="Q14" s="10">
        <v>2048</v>
      </c>
      <c r="R14" s="10">
        <v>360</v>
      </c>
      <c r="S14" s="10">
        <v>250</v>
      </c>
      <c r="T14" s="12">
        <f t="shared" si="2"/>
        <v>7479.8611111111113</v>
      </c>
      <c r="U14" s="11">
        <v>0</v>
      </c>
      <c r="V14" s="17">
        <v>0</v>
      </c>
      <c r="W14" s="17">
        <v>0</v>
      </c>
      <c r="X14" s="1">
        <v>46.649442000000001</v>
      </c>
      <c r="Y14" s="1">
        <v>0</v>
      </c>
      <c r="Z14" s="1">
        <v>7.9913030000000003</v>
      </c>
      <c r="AA14" s="1">
        <v>0</v>
      </c>
      <c r="AB14" s="1">
        <v>1810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</row>
    <row r="15" spans="1:46" s="6" customFormat="1" x14ac:dyDescent="0.45">
      <c r="A15" s="7" t="s">
        <v>10</v>
      </c>
      <c r="B15" s="8" t="s">
        <v>83</v>
      </c>
      <c r="C15" s="3">
        <v>4</v>
      </c>
      <c r="D15" s="3">
        <v>16</v>
      </c>
      <c r="E15" s="4">
        <f t="shared" si="10"/>
        <v>15.6</v>
      </c>
      <c r="F15" s="4">
        <f t="shared" si="7"/>
        <v>23.5</v>
      </c>
      <c r="G15" s="4">
        <f t="shared" si="4"/>
        <v>23.5</v>
      </c>
      <c r="H15" s="4">
        <f t="shared" si="5"/>
        <v>51.978467167666018</v>
      </c>
      <c r="I15" s="4">
        <f t="shared" si="8"/>
        <v>72.585259456959193</v>
      </c>
      <c r="J15" s="4">
        <f t="shared" si="6"/>
        <v>72.585259456959193</v>
      </c>
      <c r="K15" s="9" t="s">
        <v>24</v>
      </c>
      <c r="L15" s="9" t="s">
        <v>142</v>
      </c>
      <c r="M15" s="10">
        <f t="shared" si="0"/>
        <v>6240</v>
      </c>
      <c r="N15" s="10">
        <f t="shared" si="1"/>
        <v>4160</v>
      </c>
      <c r="O15" s="10">
        <v>14085</v>
      </c>
      <c r="P15" s="10">
        <v>3072</v>
      </c>
      <c r="Q15" s="10">
        <v>2048</v>
      </c>
      <c r="R15" s="10">
        <v>360</v>
      </c>
      <c r="S15" s="10">
        <v>270</v>
      </c>
      <c r="T15" s="12">
        <f t="shared" si="2"/>
        <v>10563.75</v>
      </c>
      <c r="U15" s="11">
        <v>0</v>
      </c>
      <c r="V15" s="17">
        <v>5</v>
      </c>
      <c r="W15" s="17">
        <v>0</v>
      </c>
      <c r="X15" s="1">
        <v>46.650942999999998</v>
      </c>
      <c r="Y15" s="1">
        <v>0</v>
      </c>
      <c r="Z15" s="1">
        <v>7.9092729999999998</v>
      </c>
      <c r="AA15" s="1">
        <v>0</v>
      </c>
      <c r="AB15" s="1">
        <v>1967</v>
      </c>
      <c r="AC15" s="1">
        <v>17</v>
      </c>
      <c r="AD15" s="1">
        <v>35</v>
      </c>
      <c r="AE15" s="1">
        <v>191</v>
      </c>
      <c r="AF15" s="1">
        <v>4082</v>
      </c>
      <c r="AG15" s="1">
        <v>4203</v>
      </c>
    </row>
    <row r="16" spans="1:46" s="6" customFormat="1" x14ac:dyDescent="0.45">
      <c r="A16" s="7" t="s">
        <v>69</v>
      </c>
      <c r="B16" s="8" t="s">
        <v>84</v>
      </c>
      <c r="C16" s="3">
        <v>2</v>
      </c>
      <c r="D16" s="3">
        <v>24</v>
      </c>
      <c r="E16" s="4">
        <f t="shared" si="10"/>
        <v>29.3</v>
      </c>
      <c r="F16" s="4">
        <f t="shared" si="7"/>
        <v>0</v>
      </c>
      <c r="G16" s="4">
        <f t="shared" si="4"/>
        <v>44.1</v>
      </c>
      <c r="H16" s="4">
        <f t="shared" si="5"/>
        <v>62.801173774098324</v>
      </c>
      <c r="I16" s="4">
        <f t="shared" si="8"/>
        <v>0</v>
      </c>
      <c r="J16" s="4">
        <f t="shared" si="6"/>
        <v>85.150485911924036</v>
      </c>
      <c r="K16" s="9" t="s">
        <v>35</v>
      </c>
      <c r="L16" s="9" t="s">
        <v>143</v>
      </c>
      <c r="M16" s="10">
        <f t="shared" si="0"/>
        <v>1</v>
      </c>
      <c r="N16" s="10">
        <f t="shared" si="1"/>
        <v>2048</v>
      </c>
      <c r="O16" s="10">
        <v>10771</v>
      </c>
      <c r="P16" s="10">
        <v>3072</v>
      </c>
      <c r="Q16" s="10">
        <v>2048</v>
      </c>
      <c r="R16" s="10">
        <v>360</v>
      </c>
      <c r="S16" s="10">
        <v>310</v>
      </c>
      <c r="T16" s="12">
        <f t="shared" si="2"/>
        <v>9275.0277777777774</v>
      </c>
      <c r="U16" s="11">
        <v>0</v>
      </c>
      <c r="V16" s="17">
        <v>0</v>
      </c>
      <c r="W16" s="17">
        <v>0</v>
      </c>
      <c r="X16" s="1">
        <v>46.627034999999999</v>
      </c>
      <c r="Y16" s="1">
        <v>0</v>
      </c>
      <c r="Z16" s="1">
        <v>8.0461069999999992</v>
      </c>
      <c r="AA16" s="1">
        <v>0</v>
      </c>
      <c r="AB16" s="1">
        <v>1150</v>
      </c>
      <c r="AC16" s="1">
        <v>-30</v>
      </c>
      <c r="AD16" s="1">
        <v>0</v>
      </c>
      <c r="AE16" s="1">
        <v>0</v>
      </c>
      <c r="AF16" s="1">
        <v>0</v>
      </c>
      <c r="AG16" s="1">
        <v>0</v>
      </c>
    </row>
    <row r="17" spans="1:46" s="6" customFormat="1" x14ac:dyDescent="0.45">
      <c r="A17" s="7" t="s">
        <v>55</v>
      </c>
      <c r="B17" s="8" t="s">
        <v>85</v>
      </c>
      <c r="C17" s="3">
        <v>2</v>
      </c>
      <c r="D17" s="3">
        <v>24</v>
      </c>
      <c r="E17" s="4">
        <f t="shared" si="10"/>
        <v>29.3</v>
      </c>
      <c r="F17" s="4">
        <f t="shared" si="7"/>
        <v>0</v>
      </c>
      <c r="G17" s="4">
        <f t="shared" si="4"/>
        <v>44.1</v>
      </c>
      <c r="H17" s="4">
        <f t="shared" si="5"/>
        <v>62.801173774098324</v>
      </c>
      <c r="I17" s="4">
        <f t="shared" si="8"/>
        <v>0</v>
      </c>
      <c r="J17" s="4">
        <f t="shared" si="6"/>
        <v>85.150485911924036</v>
      </c>
      <c r="K17" s="9" t="s">
        <v>29</v>
      </c>
      <c r="L17" s="9" t="s">
        <v>144</v>
      </c>
      <c r="M17" s="10">
        <f t="shared" si="0"/>
        <v>1</v>
      </c>
      <c r="N17" s="10">
        <f t="shared" si="1"/>
        <v>2048</v>
      </c>
      <c r="O17" s="10">
        <v>10771</v>
      </c>
      <c r="P17" s="10">
        <v>3072</v>
      </c>
      <c r="Q17" s="10">
        <v>2048</v>
      </c>
      <c r="R17" s="10">
        <v>360</v>
      </c>
      <c r="S17" s="10">
        <v>310</v>
      </c>
      <c r="T17" s="12">
        <f t="shared" si="2"/>
        <v>9275.0277777777774</v>
      </c>
      <c r="U17" s="11">
        <v>0</v>
      </c>
      <c r="V17" s="17">
        <v>0</v>
      </c>
      <c r="W17" s="17">
        <v>0</v>
      </c>
      <c r="X17" s="1">
        <v>46.625044000000003</v>
      </c>
      <c r="Y17" s="1">
        <v>0</v>
      </c>
      <c r="Z17" s="1">
        <v>8.0294749999999997</v>
      </c>
      <c r="AA17" s="1">
        <v>0</v>
      </c>
      <c r="AB17" s="1">
        <v>990</v>
      </c>
      <c r="AC17" s="1">
        <v>46</v>
      </c>
      <c r="AD17" s="1">
        <v>0</v>
      </c>
      <c r="AE17" s="1">
        <v>0</v>
      </c>
      <c r="AF17" s="1">
        <v>0</v>
      </c>
      <c r="AG17" s="1"/>
    </row>
    <row r="18" spans="1:46" s="6" customFormat="1" x14ac:dyDescent="0.45">
      <c r="A18" s="7" t="s">
        <v>11</v>
      </c>
      <c r="B18" s="8" t="s">
        <v>86</v>
      </c>
      <c r="C18" s="3">
        <v>4</v>
      </c>
      <c r="D18" s="3">
        <v>10</v>
      </c>
      <c r="E18" s="4">
        <f t="shared" si="10"/>
        <v>15.6</v>
      </c>
      <c r="F18" s="4">
        <f t="shared" si="7"/>
        <v>23.5</v>
      </c>
      <c r="G18" s="4">
        <f t="shared" si="4"/>
        <v>23.5</v>
      </c>
      <c r="H18" s="4">
        <f t="shared" si="5"/>
        <v>75.908461750265033</v>
      </c>
      <c r="I18" s="4">
        <f t="shared" si="8"/>
        <v>99.200191332526572</v>
      </c>
      <c r="J18" s="4">
        <f t="shared" si="6"/>
        <v>99.200191332526572</v>
      </c>
      <c r="K18" s="9" t="s">
        <v>25</v>
      </c>
      <c r="L18" s="9" t="s">
        <v>145</v>
      </c>
      <c r="M18" s="10">
        <f t="shared" si="0"/>
        <v>6240</v>
      </c>
      <c r="N18" s="10">
        <f t="shared" si="1"/>
        <v>4160</v>
      </c>
      <c r="O18" s="10">
        <v>9384</v>
      </c>
      <c r="P18" s="10">
        <v>3072</v>
      </c>
      <c r="Q18" s="10">
        <v>2048</v>
      </c>
      <c r="R18" s="10">
        <v>360</v>
      </c>
      <c r="S18" s="10">
        <v>330</v>
      </c>
      <c r="T18" s="12">
        <f t="shared" si="2"/>
        <v>8602</v>
      </c>
      <c r="U18" s="11">
        <v>0</v>
      </c>
      <c r="V18" s="17">
        <v>12</v>
      </c>
      <c r="W18" s="17">
        <v>0</v>
      </c>
      <c r="X18" s="1">
        <v>46.598959999999998</v>
      </c>
      <c r="Y18" s="1">
        <v>0</v>
      </c>
      <c r="Z18" s="1">
        <v>7.9966400000000002</v>
      </c>
      <c r="AA18" s="1">
        <v>0</v>
      </c>
      <c r="AB18" s="1">
        <v>1650</v>
      </c>
      <c r="AC18" s="1">
        <v>0</v>
      </c>
      <c r="AD18" s="1">
        <v>137</v>
      </c>
      <c r="AE18" s="1">
        <v>436</v>
      </c>
      <c r="AF18" s="1">
        <v>4341</v>
      </c>
      <c r="AG18" s="1">
        <v>4502</v>
      </c>
    </row>
    <row r="19" spans="1:46" s="6" customFormat="1" x14ac:dyDescent="0.45">
      <c r="A19" s="7" t="s">
        <v>68</v>
      </c>
      <c r="B19" s="8" t="s">
        <v>87</v>
      </c>
      <c r="C19" s="3">
        <v>4</v>
      </c>
      <c r="D19" s="3">
        <v>10</v>
      </c>
      <c r="E19" s="4">
        <f t="shared" si="10"/>
        <v>15.6</v>
      </c>
      <c r="F19" s="4">
        <f t="shared" si="7"/>
        <v>23.5</v>
      </c>
      <c r="G19" s="4">
        <f t="shared" si="4"/>
        <v>23.5</v>
      </c>
      <c r="H19" s="4">
        <f>2*ATAN(E19/(2*D19))*180/PI()</f>
        <v>75.908461750265033</v>
      </c>
      <c r="I19" s="4">
        <f t="shared" si="8"/>
        <v>99.200191332526572</v>
      </c>
      <c r="J19" s="4">
        <f t="shared" si="6"/>
        <v>99.200191332526572</v>
      </c>
      <c r="K19" s="9" t="s">
        <v>36</v>
      </c>
      <c r="L19" s="9" t="s">
        <v>146</v>
      </c>
      <c r="M19" s="10">
        <f t="shared" si="0"/>
        <v>6240</v>
      </c>
      <c r="N19" s="10">
        <f t="shared" si="1"/>
        <v>4160</v>
      </c>
      <c r="O19" s="10">
        <v>9994</v>
      </c>
      <c r="P19" s="10">
        <v>3072</v>
      </c>
      <c r="Q19" s="10">
        <v>2048</v>
      </c>
      <c r="R19" s="10">
        <v>360</v>
      </c>
      <c r="S19" s="10">
        <v>60</v>
      </c>
      <c r="T19" s="12">
        <f t="shared" si="2"/>
        <v>1665.6666666666667</v>
      </c>
      <c r="U19" s="11">
        <v>0</v>
      </c>
      <c r="V19" s="17">
        <v>-5</v>
      </c>
      <c r="W19" s="17">
        <v>0</v>
      </c>
      <c r="X19" s="1">
        <v>46.583419999999997</v>
      </c>
      <c r="Y19" s="1">
        <v>0</v>
      </c>
      <c r="Z19" s="1">
        <v>8.0225799999999996</v>
      </c>
      <c r="AA19" s="1">
        <v>0</v>
      </c>
      <c r="AB19" s="1">
        <v>3355</v>
      </c>
      <c r="AC19" s="1">
        <v>7</v>
      </c>
      <c r="AD19" s="1">
        <v>20</v>
      </c>
      <c r="AE19" s="1">
        <v>291</v>
      </c>
      <c r="AF19" s="1">
        <v>3915</v>
      </c>
      <c r="AG19" s="1">
        <v>4166</v>
      </c>
    </row>
    <row r="20" spans="1:46" s="6" customFormat="1" x14ac:dyDescent="0.45">
      <c r="A20" s="7" t="s">
        <v>64</v>
      </c>
      <c r="B20" s="8" t="s">
        <v>88</v>
      </c>
      <c r="C20" s="3">
        <v>3</v>
      </c>
      <c r="D20" s="3">
        <v>24</v>
      </c>
      <c r="E20" s="4">
        <f t="shared" si="10"/>
        <v>29.3</v>
      </c>
      <c r="F20" s="4">
        <f t="shared" si="7"/>
        <v>0</v>
      </c>
      <c r="G20" s="4">
        <f t="shared" si="4"/>
        <v>44.1</v>
      </c>
      <c r="H20" s="4">
        <f t="shared" si="5"/>
        <v>62.801173774098324</v>
      </c>
      <c r="I20" s="4">
        <f t="shared" si="8"/>
        <v>0</v>
      </c>
      <c r="J20" s="4">
        <f t="shared" si="6"/>
        <v>85.150485911924036</v>
      </c>
      <c r="K20" s="9" t="s">
        <v>37</v>
      </c>
      <c r="L20" s="9" t="s">
        <v>147</v>
      </c>
      <c r="M20" s="10">
        <f t="shared" si="0"/>
        <v>1</v>
      </c>
      <c r="N20" s="10">
        <f t="shared" si="1"/>
        <v>2048</v>
      </c>
      <c r="O20" s="10">
        <v>10752</v>
      </c>
      <c r="P20" s="10">
        <v>3072</v>
      </c>
      <c r="Q20" s="10">
        <v>2048</v>
      </c>
      <c r="R20" s="10">
        <v>360</v>
      </c>
      <c r="S20" s="10">
        <v>260</v>
      </c>
      <c r="T20" s="12">
        <f t="shared" si="2"/>
        <v>7765.333333333333</v>
      </c>
      <c r="U20" s="11">
        <v>0</v>
      </c>
      <c r="V20" s="17">
        <v>-5</v>
      </c>
      <c r="W20" s="17">
        <v>0</v>
      </c>
      <c r="X20" s="1">
        <v>46.610970999999999</v>
      </c>
      <c r="Y20" s="1">
        <v>0</v>
      </c>
      <c r="Z20" s="1">
        <v>7.9420000000000002</v>
      </c>
      <c r="AA20" s="1">
        <v>0</v>
      </c>
      <c r="AB20" s="1">
        <v>2343</v>
      </c>
      <c r="AC20" s="1">
        <v>-100</v>
      </c>
      <c r="AD20" s="1">
        <v>0</v>
      </c>
      <c r="AE20" s="1">
        <v>0</v>
      </c>
      <c r="AF20" s="1">
        <v>0</v>
      </c>
      <c r="AG20" s="1">
        <v>0</v>
      </c>
    </row>
    <row r="21" spans="1:46" s="6" customFormat="1" x14ac:dyDescent="0.45">
      <c r="A21" s="7" t="s">
        <v>12</v>
      </c>
      <c r="B21" s="8" t="s">
        <v>89</v>
      </c>
      <c r="C21" s="3">
        <v>2</v>
      </c>
      <c r="D21" s="3">
        <v>24</v>
      </c>
      <c r="E21" s="4">
        <f t="shared" si="10"/>
        <v>29.3</v>
      </c>
      <c r="F21" s="4">
        <f t="shared" si="7"/>
        <v>0</v>
      </c>
      <c r="G21" s="4">
        <f t="shared" si="4"/>
        <v>44.1</v>
      </c>
      <c r="H21" s="4">
        <f t="shared" si="5"/>
        <v>62.801173774098324</v>
      </c>
      <c r="I21" s="4">
        <f t="shared" si="8"/>
        <v>0</v>
      </c>
      <c r="J21" s="4">
        <f t="shared" si="6"/>
        <v>85.150485911924036</v>
      </c>
      <c r="K21" s="9" t="s">
        <v>38</v>
      </c>
      <c r="L21" s="9" t="s">
        <v>148</v>
      </c>
      <c r="M21" s="10">
        <f t="shared" si="0"/>
        <v>1</v>
      </c>
      <c r="N21" s="10">
        <f t="shared" si="1"/>
        <v>2048</v>
      </c>
      <c r="O21" s="10">
        <v>10771</v>
      </c>
      <c r="P21" s="10">
        <v>3072</v>
      </c>
      <c r="Q21" s="10">
        <v>2048</v>
      </c>
      <c r="R21" s="10">
        <v>360</v>
      </c>
      <c r="S21" s="10">
        <v>240</v>
      </c>
      <c r="T21" s="12">
        <f t="shared" si="2"/>
        <v>7180.666666666667</v>
      </c>
      <c r="U21" s="11">
        <v>0</v>
      </c>
      <c r="V21" s="17">
        <v>0</v>
      </c>
      <c r="W21" s="17">
        <v>0</v>
      </c>
      <c r="X21" s="1">
        <v>46.608811000000003</v>
      </c>
      <c r="Y21" s="1">
        <v>0</v>
      </c>
      <c r="Z21" s="1">
        <v>7.9159709999999999</v>
      </c>
      <c r="AA21" s="1">
        <v>0</v>
      </c>
      <c r="AB21" s="1">
        <v>1252</v>
      </c>
      <c r="AC21" s="1">
        <v>0</v>
      </c>
      <c r="AD21" s="1">
        <v>0</v>
      </c>
      <c r="AE21" s="1">
        <v>0</v>
      </c>
      <c r="AF21" s="1">
        <v>0</v>
      </c>
      <c r="AG21" s="1"/>
    </row>
    <row r="22" spans="1:46" s="6" customFormat="1" x14ac:dyDescent="0.45">
      <c r="A22" s="7" t="s">
        <v>13</v>
      </c>
      <c r="B22" s="8" t="s">
        <v>102</v>
      </c>
      <c r="C22" s="3">
        <v>4</v>
      </c>
      <c r="D22" s="3">
        <v>10</v>
      </c>
      <c r="E22" s="4">
        <f t="shared" si="10"/>
        <v>15.6</v>
      </c>
      <c r="F22" s="4">
        <f t="shared" si="7"/>
        <v>23.5</v>
      </c>
      <c r="G22" s="4">
        <f t="shared" si="4"/>
        <v>23.5</v>
      </c>
      <c r="H22" s="4">
        <f t="shared" si="5"/>
        <v>75.908461750265033</v>
      </c>
      <c r="I22" s="4">
        <f t="shared" si="8"/>
        <v>99.200191332526572</v>
      </c>
      <c r="J22" s="4">
        <f t="shared" si="6"/>
        <v>99.200191332526572</v>
      </c>
      <c r="K22" s="9" t="s">
        <v>26</v>
      </c>
      <c r="L22" s="9" t="s">
        <v>149</v>
      </c>
      <c r="M22" s="10">
        <f t="shared" si="0"/>
        <v>6240</v>
      </c>
      <c r="N22" s="10">
        <f t="shared" si="1"/>
        <v>4160</v>
      </c>
      <c r="O22" s="10">
        <v>9810</v>
      </c>
      <c r="P22" s="10">
        <v>3072</v>
      </c>
      <c r="Q22" s="10">
        <v>2048</v>
      </c>
      <c r="R22" s="10">
        <v>360</v>
      </c>
      <c r="S22" s="10">
        <v>340</v>
      </c>
      <c r="T22" s="12">
        <f t="shared" si="2"/>
        <v>9265</v>
      </c>
      <c r="U22" s="11">
        <v>0</v>
      </c>
      <c r="V22" s="17">
        <v>-2</v>
      </c>
      <c r="W22" s="17">
        <v>0</v>
      </c>
      <c r="X22" s="1">
        <v>46.58652</v>
      </c>
      <c r="Y22" s="1">
        <v>0</v>
      </c>
      <c r="Z22" s="1">
        <v>7.9470400000000003</v>
      </c>
      <c r="AA22" s="1">
        <v>0</v>
      </c>
      <c r="AB22" s="1">
        <v>2324</v>
      </c>
      <c r="AC22" s="1">
        <v>0</v>
      </c>
      <c r="AD22" s="1">
        <v>-28</v>
      </c>
      <c r="AE22" s="1">
        <v>244</v>
      </c>
      <c r="AF22" s="1">
        <v>3875</v>
      </c>
      <c r="AG22" s="1">
        <v>4175</v>
      </c>
    </row>
    <row r="23" spans="1:46" s="6" customFormat="1" x14ac:dyDescent="0.45">
      <c r="A23" s="7" t="s">
        <v>14</v>
      </c>
      <c r="B23" s="8" t="s">
        <v>90</v>
      </c>
      <c r="C23" s="3">
        <v>4</v>
      </c>
      <c r="D23" s="3">
        <v>10</v>
      </c>
      <c r="E23" s="4">
        <f t="shared" si="10"/>
        <v>15.6</v>
      </c>
      <c r="F23" s="4">
        <f t="shared" si="7"/>
        <v>23.5</v>
      </c>
      <c r="G23" s="4">
        <f t="shared" si="4"/>
        <v>23.5</v>
      </c>
      <c r="H23" s="4">
        <f t="shared" si="5"/>
        <v>75.908461750265033</v>
      </c>
      <c r="I23" s="4">
        <f t="shared" si="8"/>
        <v>99.200191332526572</v>
      </c>
      <c r="J23" s="4">
        <f t="shared" si="6"/>
        <v>99.200191332526572</v>
      </c>
      <c r="K23" s="9" t="s">
        <v>27</v>
      </c>
      <c r="L23" s="9" t="s">
        <v>150</v>
      </c>
      <c r="M23" s="10">
        <f t="shared" si="0"/>
        <v>6240</v>
      </c>
      <c r="N23" s="10">
        <f t="shared" si="1"/>
        <v>4160</v>
      </c>
      <c r="O23" s="10">
        <v>10092</v>
      </c>
      <c r="P23" s="10">
        <v>3072</v>
      </c>
      <c r="Q23" s="10">
        <v>2048</v>
      </c>
      <c r="R23" s="10">
        <v>360</v>
      </c>
      <c r="S23" s="10">
        <v>240</v>
      </c>
      <c r="T23" s="12">
        <f t="shared" si="2"/>
        <v>6728</v>
      </c>
      <c r="U23" s="11">
        <v>0</v>
      </c>
      <c r="V23" s="17">
        <v>0</v>
      </c>
      <c r="W23" s="17">
        <v>0</v>
      </c>
      <c r="X23" s="1">
        <v>46.575372000000002</v>
      </c>
      <c r="Y23" s="1">
        <v>0</v>
      </c>
      <c r="Z23" s="1">
        <v>7.9752090000000004</v>
      </c>
      <c r="AA23" s="1">
        <v>0</v>
      </c>
      <c r="AB23" s="1">
        <v>2300</v>
      </c>
      <c r="AC23" s="1">
        <v>41</v>
      </c>
      <c r="AD23" s="1">
        <v>0</v>
      </c>
      <c r="AE23" s="1">
        <v>0</v>
      </c>
      <c r="AF23" s="1">
        <v>0</v>
      </c>
      <c r="AG23" s="1">
        <v>0</v>
      </c>
    </row>
    <row r="24" spans="1:46" s="6" customFormat="1" x14ac:dyDescent="0.45">
      <c r="A24" s="7" t="s">
        <v>67</v>
      </c>
      <c r="B24" s="8" t="s">
        <v>91</v>
      </c>
      <c r="C24" s="3">
        <v>4</v>
      </c>
      <c r="D24" s="3">
        <v>12</v>
      </c>
      <c r="E24" s="4">
        <f t="shared" si="10"/>
        <v>15.6</v>
      </c>
      <c r="F24" s="4">
        <f t="shared" si="7"/>
        <v>23.5</v>
      </c>
      <c r="G24" s="4">
        <f t="shared" si="4"/>
        <v>23.5</v>
      </c>
      <c r="H24" s="4">
        <f t="shared" si="5"/>
        <v>66.047735111593298</v>
      </c>
      <c r="I24" s="4">
        <f t="shared" si="8"/>
        <v>88.793817611238936</v>
      </c>
      <c r="J24" s="4">
        <f t="shared" si="6"/>
        <v>88.793817611238936</v>
      </c>
      <c r="K24" s="9" t="s">
        <v>39</v>
      </c>
      <c r="L24" s="9" t="s">
        <v>151</v>
      </c>
      <c r="M24" s="10">
        <f t="shared" si="0"/>
        <v>6240</v>
      </c>
      <c r="N24" s="10">
        <f t="shared" si="1"/>
        <v>4160</v>
      </c>
      <c r="O24" s="10">
        <v>11783</v>
      </c>
      <c r="P24" s="10">
        <v>3072</v>
      </c>
      <c r="Q24" s="10">
        <v>2048</v>
      </c>
      <c r="R24" s="10">
        <v>360</v>
      </c>
      <c r="S24" s="10">
        <v>355</v>
      </c>
      <c r="T24" s="12">
        <f t="shared" si="2"/>
        <v>11619.347222222223</v>
      </c>
      <c r="U24" s="11">
        <v>0</v>
      </c>
      <c r="V24" s="17">
        <v>0</v>
      </c>
      <c r="W24" s="17">
        <v>0</v>
      </c>
      <c r="X24" s="1">
        <v>46.554720000000003</v>
      </c>
      <c r="Y24" s="1">
        <v>0</v>
      </c>
      <c r="Z24" s="1">
        <v>8.0057100000000005</v>
      </c>
      <c r="AA24" s="1">
        <v>0</v>
      </c>
      <c r="AB24" s="1">
        <v>3658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</row>
    <row r="25" spans="1:46" x14ac:dyDescent="0.45">
      <c r="A25" s="7" t="s">
        <v>104</v>
      </c>
      <c r="B25" s="8" t="s">
        <v>106</v>
      </c>
      <c r="C25" s="3"/>
      <c r="D25" s="3">
        <v>12</v>
      </c>
      <c r="E25" s="4">
        <v>15.6</v>
      </c>
      <c r="F25" s="4">
        <f t="shared" si="7"/>
        <v>23.5</v>
      </c>
      <c r="G25" s="4">
        <f t="shared" si="4"/>
        <v>23.5</v>
      </c>
      <c r="H25" s="4">
        <f t="shared" si="5"/>
        <v>66.047735111593298</v>
      </c>
      <c r="I25" s="4">
        <f t="shared" si="8"/>
        <v>88.793817611238936</v>
      </c>
      <c r="J25" s="4">
        <f t="shared" si="6"/>
        <v>88.793817611238936</v>
      </c>
      <c r="K25" s="9" t="s">
        <v>105</v>
      </c>
      <c r="L25" s="9" t="s">
        <v>152</v>
      </c>
      <c r="M25" s="10">
        <f t="shared" si="0"/>
        <v>6240</v>
      </c>
      <c r="N25" s="10">
        <f t="shared" si="1"/>
        <v>4160</v>
      </c>
      <c r="O25" s="10">
        <v>11628</v>
      </c>
      <c r="P25" s="10">
        <v>3072</v>
      </c>
      <c r="Q25" s="10">
        <v>2048</v>
      </c>
      <c r="R25" s="10">
        <v>360</v>
      </c>
      <c r="S25" s="10">
        <v>60</v>
      </c>
      <c r="T25" s="12">
        <f t="shared" si="2"/>
        <v>1937.9999999999998</v>
      </c>
      <c r="U25" s="11">
        <v>0</v>
      </c>
      <c r="V25" s="17">
        <v>0</v>
      </c>
      <c r="W25" s="17">
        <v>0</v>
      </c>
      <c r="X25" s="1">
        <v>46.547379999999997</v>
      </c>
      <c r="Y25" s="1">
        <v>0</v>
      </c>
      <c r="Z25" s="1">
        <v>7.9808599999999998</v>
      </c>
      <c r="AA25" s="1">
        <v>0</v>
      </c>
      <c r="AB25" s="1">
        <v>3483</v>
      </c>
      <c r="AC25" s="1">
        <v>0</v>
      </c>
      <c r="AD25" s="1">
        <v>0</v>
      </c>
      <c r="AE25" s="1">
        <v>0</v>
      </c>
      <c r="AF25" s="1">
        <v>0</v>
      </c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</row>
    <row r="26" spans="1:46" s="6" customFormat="1" x14ac:dyDescent="0.45">
      <c r="A26" s="7" t="s">
        <v>15</v>
      </c>
      <c r="B26" s="8" t="s">
        <v>92</v>
      </c>
      <c r="C26" s="3">
        <v>4</v>
      </c>
      <c r="D26" s="3">
        <v>18</v>
      </c>
      <c r="E26" s="4">
        <f t="shared" si="10"/>
        <v>15.6</v>
      </c>
      <c r="F26" s="4">
        <f t="shared" si="7"/>
        <v>23.5</v>
      </c>
      <c r="G26" s="4">
        <f t="shared" si="4"/>
        <v>23.5</v>
      </c>
      <c r="H26" s="4">
        <f t="shared" si="5"/>
        <v>46.857385617490806</v>
      </c>
      <c r="I26" s="4">
        <f t="shared" si="8"/>
        <v>66.271219097437751</v>
      </c>
      <c r="J26" s="4">
        <f t="shared" si="6"/>
        <v>66.271219097437751</v>
      </c>
      <c r="K26" s="9" t="s">
        <v>28</v>
      </c>
      <c r="L26" s="9" t="s">
        <v>153</v>
      </c>
      <c r="M26" s="10">
        <f t="shared" si="0"/>
        <v>6240</v>
      </c>
      <c r="N26" s="10">
        <f t="shared" si="1"/>
        <v>4160</v>
      </c>
      <c r="O26" s="10">
        <v>9516</v>
      </c>
      <c r="P26" s="10">
        <v>3072</v>
      </c>
      <c r="Q26" s="10">
        <v>2048</v>
      </c>
      <c r="R26" s="10">
        <v>180</v>
      </c>
      <c r="S26" s="10">
        <v>50</v>
      </c>
      <c r="T26" s="12">
        <f t="shared" si="2"/>
        <v>2643.3333333333335</v>
      </c>
      <c r="U26" s="11">
        <v>0</v>
      </c>
      <c r="V26" s="17">
        <v>-4</v>
      </c>
      <c r="W26" s="17">
        <v>0</v>
      </c>
      <c r="X26" s="1">
        <v>46.545409999999997</v>
      </c>
      <c r="Y26" s="1">
        <v>0</v>
      </c>
      <c r="Z26" s="1">
        <v>7.9715100000000003</v>
      </c>
      <c r="AA26" s="1">
        <v>0</v>
      </c>
      <c r="AB26" s="1">
        <v>3697</v>
      </c>
      <c r="AC26" s="1">
        <v>0</v>
      </c>
      <c r="AD26" s="1">
        <v>-69</v>
      </c>
      <c r="AE26" s="1">
        <v>257</v>
      </c>
      <c r="AF26" s="1">
        <v>3808</v>
      </c>
      <c r="AG26" s="1">
        <v>4202</v>
      </c>
    </row>
    <row r="27" spans="1:46" s="6" customFormat="1" x14ac:dyDescent="0.45">
      <c r="A27" s="7" t="s">
        <v>65</v>
      </c>
      <c r="B27" s="8" t="s">
        <v>93</v>
      </c>
      <c r="C27" s="3">
        <v>2</v>
      </c>
      <c r="D27" s="3">
        <v>24</v>
      </c>
      <c r="E27" s="4">
        <f t="shared" si="10"/>
        <v>29.3</v>
      </c>
      <c r="F27" s="4">
        <f t="shared" si="7"/>
        <v>0</v>
      </c>
      <c r="G27" s="4">
        <f t="shared" si="4"/>
        <v>44.1</v>
      </c>
      <c r="H27" s="4">
        <f t="shared" si="5"/>
        <v>62.801173774098324</v>
      </c>
      <c r="I27" s="4">
        <f t="shared" si="8"/>
        <v>0</v>
      </c>
      <c r="J27" s="4">
        <f t="shared" si="6"/>
        <v>85.150485911924036</v>
      </c>
      <c r="K27" s="9" t="s">
        <v>40</v>
      </c>
      <c r="L27" s="9" t="s">
        <v>154</v>
      </c>
      <c r="M27" s="10">
        <f t="shared" si="0"/>
        <v>1</v>
      </c>
      <c r="N27" s="10">
        <f t="shared" si="1"/>
        <v>2048</v>
      </c>
      <c r="O27" s="10">
        <v>10771</v>
      </c>
      <c r="P27" s="10">
        <v>3072</v>
      </c>
      <c r="Q27" s="10">
        <v>2048</v>
      </c>
      <c r="R27" s="10">
        <v>360</v>
      </c>
      <c r="S27" s="10">
        <v>350</v>
      </c>
      <c r="T27" s="12">
        <f t="shared" si="2"/>
        <v>10471.805555555555</v>
      </c>
      <c r="U27" s="11">
        <v>0</v>
      </c>
      <c r="V27" s="17">
        <v>0</v>
      </c>
      <c r="W27" s="17">
        <v>0</v>
      </c>
      <c r="X27" s="1">
        <v>46.561436999999998</v>
      </c>
      <c r="Y27" s="1">
        <v>0</v>
      </c>
      <c r="Z27" s="1">
        <v>7.8968489999999996</v>
      </c>
      <c r="AA27" s="1">
        <v>0</v>
      </c>
      <c r="AB27" s="1">
        <v>1650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</row>
    <row r="28" spans="1:46" s="6" customFormat="1" x14ac:dyDescent="0.45">
      <c r="A28" s="7" t="s">
        <v>16</v>
      </c>
      <c r="B28" s="8" t="s">
        <v>94</v>
      </c>
      <c r="C28" s="3">
        <v>2</v>
      </c>
      <c r="D28" s="3">
        <v>35</v>
      </c>
      <c r="E28" s="4">
        <f t="shared" si="10"/>
        <v>29.3</v>
      </c>
      <c r="F28" s="4">
        <f t="shared" si="7"/>
        <v>0</v>
      </c>
      <c r="G28" s="4">
        <f t="shared" si="4"/>
        <v>44.1</v>
      </c>
      <c r="H28" s="4">
        <f t="shared" si="5"/>
        <v>45.425585277403741</v>
      </c>
      <c r="I28" s="4">
        <f t="shared" si="8"/>
        <v>0</v>
      </c>
      <c r="J28" s="4">
        <f t="shared" si="6"/>
        <v>64.421855447347497</v>
      </c>
      <c r="K28" s="9" t="s">
        <v>49</v>
      </c>
      <c r="L28" s="9" t="s">
        <v>155</v>
      </c>
      <c r="M28" s="10">
        <f t="shared" si="0"/>
        <v>1</v>
      </c>
      <c r="N28" s="10">
        <f t="shared" si="1"/>
        <v>2048</v>
      </c>
      <c r="O28" s="10">
        <v>15680</v>
      </c>
      <c r="P28" s="10">
        <v>3072</v>
      </c>
      <c r="Q28" s="10">
        <v>2048</v>
      </c>
      <c r="R28" s="10">
        <v>360</v>
      </c>
      <c r="S28" s="10">
        <v>58</v>
      </c>
      <c r="T28" s="12">
        <f t="shared" si="2"/>
        <v>2526.2222222222222</v>
      </c>
      <c r="U28" s="11">
        <v>0</v>
      </c>
      <c r="V28" s="17">
        <v>0</v>
      </c>
      <c r="W28" s="17">
        <v>0</v>
      </c>
      <c r="X28" s="1">
        <v>46.564129999999999</v>
      </c>
      <c r="Y28" s="1">
        <v>0</v>
      </c>
      <c r="Z28" s="1">
        <v>7.8876010000000001</v>
      </c>
      <c r="AA28" s="1">
        <v>0</v>
      </c>
      <c r="AB28" s="1">
        <v>1907</v>
      </c>
      <c r="AC28" s="1">
        <v>25</v>
      </c>
      <c r="AD28" s="1">
        <v>0</v>
      </c>
      <c r="AE28" s="1">
        <v>0</v>
      </c>
      <c r="AF28" s="1">
        <v>0</v>
      </c>
      <c r="AG28" s="1">
        <v>0</v>
      </c>
    </row>
    <row r="29" spans="1:46" s="6" customFormat="1" x14ac:dyDescent="0.35">
      <c r="A29" s="7" t="s">
        <v>17</v>
      </c>
      <c r="B29" s="8" t="s">
        <v>95</v>
      </c>
      <c r="C29" s="3">
        <v>2</v>
      </c>
      <c r="D29" s="3">
        <v>24</v>
      </c>
      <c r="E29" s="4">
        <f t="shared" si="10"/>
        <v>29.3</v>
      </c>
      <c r="F29" s="4">
        <f t="shared" si="7"/>
        <v>0</v>
      </c>
      <c r="G29" s="4">
        <f t="shared" si="4"/>
        <v>44.1</v>
      </c>
      <c r="H29" s="4">
        <f t="shared" si="5"/>
        <v>62.801173774098324</v>
      </c>
      <c r="I29" s="4">
        <f t="shared" si="8"/>
        <v>0</v>
      </c>
      <c r="J29" s="4">
        <f t="shared" si="6"/>
        <v>85.150485911924036</v>
      </c>
      <c r="K29" s="13" t="s">
        <v>48</v>
      </c>
      <c r="L29" s="13" t="s">
        <v>156</v>
      </c>
      <c r="M29" s="10">
        <f t="shared" si="0"/>
        <v>1</v>
      </c>
      <c r="N29" s="10">
        <f t="shared" si="1"/>
        <v>2048</v>
      </c>
      <c r="O29" s="10">
        <v>10771</v>
      </c>
      <c r="P29" s="10">
        <v>3072</v>
      </c>
      <c r="Q29" s="10">
        <v>2048</v>
      </c>
      <c r="R29" s="10">
        <v>360</v>
      </c>
      <c r="S29" s="10">
        <v>0</v>
      </c>
      <c r="T29" s="12">
        <f t="shared" si="2"/>
        <v>0</v>
      </c>
      <c r="U29" s="11">
        <v>0</v>
      </c>
      <c r="V29" s="17">
        <v>0</v>
      </c>
      <c r="W29" s="17">
        <v>0</v>
      </c>
      <c r="X29" s="1">
        <v>46.562350000000002</v>
      </c>
      <c r="Y29" s="1">
        <v>0</v>
      </c>
      <c r="Z29" s="1">
        <v>7.8582299999999998</v>
      </c>
      <c r="AA29" s="1">
        <v>0</v>
      </c>
      <c r="AB29" s="1">
        <v>2670</v>
      </c>
      <c r="AC29" s="1">
        <v>20</v>
      </c>
      <c r="AD29" s="1">
        <v>0</v>
      </c>
      <c r="AE29" s="1">
        <v>0</v>
      </c>
      <c r="AF29" s="1">
        <v>0</v>
      </c>
      <c r="AG29" s="1">
        <v>0</v>
      </c>
    </row>
    <row r="30" spans="1:46" s="6" customFormat="1" x14ac:dyDescent="0.35">
      <c r="A30" s="7" t="s">
        <v>51</v>
      </c>
      <c r="B30" s="8" t="s">
        <v>96</v>
      </c>
      <c r="C30" s="3">
        <v>4</v>
      </c>
      <c r="D30" s="3">
        <v>12</v>
      </c>
      <c r="E30" s="4">
        <f t="shared" si="10"/>
        <v>15.6</v>
      </c>
      <c r="F30" s="4">
        <f t="shared" si="7"/>
        <v>23.5</v>
      </c>
      <c r="G30" s="4">
        <f t="shared" si="4"/>
        <v>23.5</v>
      </c>
      <c r="H30" s="4">
        <f t="shared" si="5"/>
        <v>66.047735111593298</v>
      </c>
      <c r="I30" s="4">
        <f t="shared" si="8"/>
        <v>88.793817611238936</v>
      </c>
      <c r="J30" s="4">
        <f t="shared" si="6"/>
        <v>88.793817611238936</v>
      </c>
      <c r="K30" s="13" t="s">
        <v>43</v>
      </c>
      <c r="L30" s="13" t="s">
        <v>157</v>
      </c>
      <c r="M30" s="10">
        <f t="shared" si="0"/>
        <v>6240</v>
      </c>
      <c r="N30" s="10">
        <f t="shared" si="1"/>
        <v>4160</v>
      </c>
      <c r="O30" s="10">
        <v>11387</v>
      </c>
      <c r="P30" s="10">
        <v>3072</v>
      </c>
      <c r="Q30" s="10">
        <v>2048</v>
      </c>
      <c r="R30" s="10">
        <v>360</v>
      </c>
      <c r="S30" s="10">
        <v>290</v>
      </c>
      <c r="T30" s="12">
        <f t="shared" si="2"/>
        <v>9172.8611111111113</v>
      </c>
      <c r="U30" s="11">
        <v>0</v>
      </c>
      <c r="V30" s="17">
        <v>-5</v>
      </c>
      <c r="W30" s="17">
        <v>0</v>
      </c>
      <c r="X30" s="1">
        <v>46.697313999999999</v>
      </c>
      <c r="Y30" s="1">
        <v>0</v>
      </c>
      <c r="Z30" s="1">
        <v>7.8515829999999998</v>
      </c>
      <c r="AA30" s="1">
        <v>0</v>
      </c>
      <c r="AB30" s="1">
        <v>1321</v>
      </c>
      <c r="AC30" s="1">
        <v>3</v>
      </c>
      <c r="AD30" s="1">
        <v>-52</v>
      </c>
      <c r="AE30" s="1">
        <v>222</v>
      </c>
      <c r="AF30" s="1">
        <v>3877</v>
      </c>
      <c r="AG30" s="1">
        <v>4203</v>
      </c>
    </row>
    <row r="31" spans="1:46" s="6" customFormat="1" x14ac:dyDescent="0.35">
      <c r="A31" s="7" t="s">
        <v>66</v>
      </c>
      <c r="B31" s="8" t="s">
        <v>97</v>
      </c>
      <c r="C31" s="3">
        <v>3</v>
      </c>
      <c r="D31" s="3">
        <v>24</v>
      </c>
      <c r="E31" s="4">
        <f t="shared" si="10"/>
        <v>29.3</v>
      </c>
      <c r="F31" s="4">
        <f t="shared" si="7"/>
        <v>0</v>
      </c>
      <c r="G31" s="4">
        <f t="shared" si="4"/>
        <v>44.1</v>
      </c>
      <c r="H31" s="4">
        <f t="shared" si="5"/>
        <v>62.801173774098324</v>
      </c>
      <c r="I31" s="4">
        <f t="shared" si="8"/>
        <v>0</v>
      </c>
      <c r="J31" s="4">
        <f t="shared" si="6"/>
        <v>85.150485911924036</v>
      </c>
      <c r="K31" s="13" t="s">
        <v>46</v>
      </c>
      <c r="L31" s="13" t="s">
        <v>158</v>
      </c>
      <c r="M31" s="10">
        <f t="shared" si="0"/>
        <v>1</v>
      </c>
      <c r="N31" s="10">
        <f t="shared" si="1"/>
        <v>2048</v>
      </c>
      <c r="O31" s="10">
        <v>9552</v>
      </c>
      <c r="P31" s="10">
        <v>3072</v>
      </c>
      <c r="Q31" s="10">
        <v>2048</v>
      </c>
      <c r="R31" s="10">
        <v>270</v>
      </c>
      <c r="S31" s="10">
        <v>190</v>
      </c>
      <c r="T31" s="12">
        <f t="shared" si="2"/>
        <v>6721.7777777777783</v>
      </c>
      <c r="U31" s="11">
        <v>0</v>
      </c>
      <c r="V31" s="19">
        <v>0</v>
      </c>
      <c r="W31" s="17">
        <v>0</v>
      </c>
      <c r="X31" s="1">
        <v>46.787239999999997</v>
      </c>
      <c r="Y31" s="1">
        <v>0</v>
      </c>
      <c r="Z31" s="1">
        <v>8.0445049999999991</v>
      </c>
      <c r="AA31" s="1">
        <v>0</v>
      </c>
      <c r="AB31" s="1">
        <v>2295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</row>
    <row r="32" spans="1:46" s="6" customFormat="1" x14ac:dyDescent="0.35">
      <c r="A32" s="7" t="s">
        <v>52</v>
      </c>
      <c r="B32" s="8" t="s">
        <v>98</v>
      </c>
      <c r="C32" s="3">
        <v>4</v>
      </c>
      <c r="D32" s="3">
        <v>12</v>
      </c>
      <c r="E32" s="4">
        <f t="shared" si="10"/>
        <v>15.6</v>
      </c>
      <c r="F32" s="4">
        <f t="shared" si="7"/>
        <v>23.5</v>
      </c>
      <c r="G32" s="4">
        <f t="shared" si="4"/>
        <v>23.5</v>
      </c>
      <c r="H32" s="4">
        <f t="shared" si="5"/>
        <v>66.047735111593298</v>
      </c>
      <c r="I32" s="4">
        <f t="shared" si="8"/>
        <v>88.793817611238936</v>
      </c>
      <c r="J32" s="4">
        <f t="shared" si="6"/>
        <v>88.793817611238936</v>
      </c>
      <c r="K32" s="13" t="s">
        <v>47</v>
      </c>
      <c r="L32" s="13" t="s">
        <v>159</v>
      </c>
      <c r="M32" s="10">
        <f t="shared" si="0"/>
        <v>6240</v>
      </c>
      <c r="N32" s="10">
        <f t="shared" si="1"/>
        <v>4160</v>
      </c>
      <c r="O32" s="10">
        <v>11170</v>
      </c>
      <c r="P32" s="10">
        <v>3072</v>
      </c>
      <c r="Q32" s="10">
        <v>2048</v>
      </c>
      <c r="R32" s="10">
        <v>360</v>
      </c>
      <c r="S32" s="10">
        <v>240</v>
      </c>
      <c r="T32" s="12">
        <f t="shared" si="2"/>
        <v>7446.666666666667</v>
      </c>
      <c r="U32" s="11">
        <v>0</v>
      </c>
      <c r="V32" s="17">
        <v>-10</v>
      </c>
      <c r="W32" s="17">
        <v>0</v>
      </c>
      <c r="X32" s="1">
        <v>46.787610000000001</v>
      </c>
      <c r="Y32" s="1">
        <v>0</v>
      </c>
      <c r="Z32" s="1">
        <v>8.0416299999999996</v>
      </c>
      <c r="AA32" s="1">
        <v>0</v>
      </c>
      <c r="AB32" s="1">
        <v>2266</v>
      </c>
      <c r="AC32" s="1">
        <v>0</v>
      </c>
      <c r="AD32" s="1">
        <v>-115</v>
      </c>
      <c r="AE32" s="1">
        <v>171</v>
      </c>
      <c r="AF32" s="1">
        <v>3958</v>
      </c>
      <c r="AG32" s="1">
        <v>4359</v>
      </c>
    </row>
    <row r="33" spans="1:33" s="6" customFormat="1" x14ac:dyDescent="0.35">
      <c r="A33" s="7" t="s">
        <v>53</v>
      </c>
      <c r="B33" s="8" t="s">
        <v>99</v>
      </c>
      <c r="C33" s="3">
        <v>4</v>
      </c>
      <c r="D33" s="3">
        <v>20</v>
      </c>
      <c r="E33" s="4">
        <f>IF(OR(C33=2,C33=3),29.3,15.6)</f>
        <v>15.6</v>
      </c>
      <c r="F33" s="4">
        <f t="shared" si="7"/>
        <v>23.5</v>
      </c>
      <c r="G33" s="4">
        <f t="shared" si="4"/>
        <v>23.5</v>
      </c>
      <c r="H33" s="4">
        <f t="shared" si="5"/>
        <v>42.611567235657546</v>
      </c>
      <c r="I33" s="4">
        <f t="shared" si="8"/>
        <v>60.868471506886827</v>
      </c>
      <c r="J33" s="4">
        <f t="shared" si="6"/>
        <v>60.868471506886827</v>
      </c>
      <c r="K33" s="13" t="s">
        <v>50</v>
      </c>
      <c r="L33" s="13" t="s">
        <v>160</v>
      </c>
      <c r="M33" s="10">
        <f t="shared" si="0"/>
        <v>6240</v>
      </c>
      <c r="N33" s="10">
        <f t="shared" si="1"/>
        <v>4160</v>
      </c>
      <c r="O33" s="10">
        <v>10138</v>
      </c>
      <c r="P33" s="10">
        <v>3072</v>
      </c>
      <c r="Q33" s="10">
        <v>2048</v>
      </c>
      <c r="R33" s="10">
        <v>200</v>
      </c>
      <c r="S33" s="10">
        <v>180</v>
      </c>
      <c r="T33" s="12">
        <f t="shared" si="2"/>
        <v>9124.1999999999989</v>
      </c>
      <c r="U33" s="11">
        <v>1000</v>
      </c>
      <c r="V33" s="17">
        <v>5</v>
      </c>
      <c r="W33" s="17">
        <v>0</v>
      </c>
      <c r="X33" s="1">
        <v>46.696269999999998</v>
      </c>
      <c r="Y33" s="1">
        <v>0</v>
      </c>
      <c r="Z33" s="1">
        <v>7.7374599999999996</v>
      </c>
      <c r="AA33" s="1">
        <v>0</v>
      </c>
      <c r="AB33" s="1">
        <v>572</v>
      </c>
      <c r="AC33" s="1">
        <v>0</v>
      </c>
      <c r="AD33" s="1">
        <v>73</v>
      </c>
      <c r="AE33" s="1">
        <v>402</v>
      </c>
      <c r="AF33" s="1">
        <v>4037</v>
      </c>
      <c r="AG33" s="1">
        <v>4293</v>
      </c>
    </row>
  </sheetData>
  <phoneticPr fontId="7" type="noConversion"/>
  <hyperlinks>
    <hyperlink ref="K2" r:id="rId1" xr:uid="{2F15A55C-04BA-4A47-B663-1E719BA68707}"/>
    <hyperlink ref="K3" r:id="rId2" xr:uid="{36C78027-301D-4075-9E47-DA48F8A030B0}"/>
    <hyperlink ref="K4" r:id="rId3" xr:uid="{B679184D-0090-4C26-BB22-52531088B77D}"/>
    <hyperlink ref="K6" r:id="rId4" xr:uid="{2CAF5934-CC7D-4892-A93C-3755D99E1ADA}"/>
    <hyperlink ref="K7" r:id="rId5" xr:uid="{E7F64615-D96E-4095-B23D-2BB15CC6F1BE}"/>
    <hyperlink ref="K8" r:id="rId6" xr:uid="{963E6BC1-9C17-4645-A793-2896E0BAF6C9}"/>
    <hyperlink ref="K11" r:id="rId7" xr:uid="{7652B0F3-56DB-4ED7-8E26-751DCB990025}"/>
    <hyperlink ref="K12" r:id="rId8" xr:uid="{00D9FEF4-CE71-49DB-B48C-4A3BA3396D18}"/>
    <hyperlink ref="K13" r:id="rId9" xr:uid="{D9D3EBCE-5648-43F8-868E-49D7B2E1D2C8}"/>
    <hyperlink ref="K15" r:id="rId10" xr:uid="{EC586B48-E1FF-4191-BC9B-A03D6D92413E}"/>
    <hyperlink ref="K18" r:id="rId11" xr:uid="{BCE945A9-7D5B-4E01-BEC2-F1DE589EF193}"/>
    <hyperlink ref="K22" r:id="rId12" xr:uid="{6F48BB0D-48E0-46B1-890E-86F5D10AB698}"/>
    <hyperlink ref="K23" r:id="rId13" xr:uid="{75B8FC6A-EEDF-4349-891C-80EAB16EA433}"/>
    <hyperlink ref="K26" r:id="rId14" xr:uid="{36FA071F-F253-4221-AC75-B5DE87D5A703}"/>
    <hyperlink ref="K16" r:id="rId15" xr:uid="{78DCF6D0-C6C7-40B6-8E9F-6751AC8CA394}"/>
    <hyperlink ref="K17" r:id="rId16" xr:uid="{317B63E7-7D98-415A-86C5-BE8465FE3055}"/>
    <hyperlink ref="K19" r:id="rId17" xr:uid="{0A519C40-D631-4D4B-BF90-08E3F439A784}"/>
    <hyperlink ref="K20" r:id="rId18" xr:uid="{EEA950BB-2807-4B86-A98B-51B4E01BCC59}"/>
    <hyperlink ref="K21" r:id="rId19" xr:uid="{01A15D16-4166-4A71-ADF9-88E395528FBB}"/>
    <hyperlink ref="K24" r:id="rId20" xr:uid="{C5F73922-2C05-489A-9668-0C2A918F839E}"/>
    <hyperlink ref="K27" r:id="rId21" xr:uid="{667B1782-9BE1-45C0-8C07-9D8FA0C587CC}"/>
    <hyperlink ref="K14" r:id="rId22" xr:uid="{F1C39FB5-5AA1-41CB-B2B2-7DFE67AB5483}"/>
    <hyperlink ref="K30" r:id="rId23" xr:uid="{A592D23D-67A6-405B-AA14-AE400C8C88F3}"/>
    <hyperlink ref="K5" r:id="rId24" xr:uid="{8D00677C-5257-4D6A-ABD1-96445A343855}"/>
    <hyperlink ref="K31" r:id="rId25" xr:uid="{9C525F38-DE91-4442-94E5-3EB13AD78A1E}"/>
    <hyperlink ref="K32" r:id="rId26" xr:uid="{EE603D65-B478-4F9D-BE3F-6B11E04B8885}"/>
    <hyperlink ref="K29" r:id="rId27" xr:uid="{010F6ED1-105C-40C5-AC91-2D2D2A01E802}"/>
    <hyperlink ref="K28" r:id="rId28" xr:uid="{4B1752FA-E812-4663-91A2-7300CE67B625}"/>
    <hyperlink ref="K33" r:id="rId29" xr:uid="{7A8FBDD0-E682-49F5-8940-225B5DE25389}"/>
    <hyperlink ref="K25" r:id="rId30" xr:uid="{08DD138A-429F-4685-B11E-787CABDE37F1}"/>
    <hyperlink ref="K9" r:id="rId31" xr:uid="{F5293A49-ABE7-47D0-AD1A-E99DFEB7559E}"/>
    <hyperlink ref="K10" r:id="rId32" xr:uid="{E91C1554-F165-4D63-BB76-94BF1D8822E0}"/>
  </hyperlinks>
  <pageMargins left="0.7" right="0.7" top="0.78740157499999996" bottom="0.78740157499999996" header="0.3" footer="0.3"/>
  <pageSetup paperSize="9" orientation="portrait" horizontalDpi="0" verticalDpi="0" r:id="rId3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Jessica Seitz</dc:creator>
  <cp:lastModifiedBy>Timo Kleger</cp:lastModifiedBy>
  <dcterms:created xsi:type="dcterms:W3CDTF">2024-03-01T15:31:12Z</dcterms:created>
  <dcterms:modified xsi:type="dcterms:W3CDTF">2025-01-29T08:26:31Z</dcterms:modified>
</cp:coreProperties>
</file>